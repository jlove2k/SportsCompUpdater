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28800" windowHeight="159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Arial"/>
      <color rgb="FF000000"/>
      <sz val="10"/>
    </font>
    <font>
      <name val="Verdana"/>
      <b val="1"/>
      <color rgb="FF000000"/>
      <sz val="10"/>
    </font>
    <font>
      <name val="Arial"/>
      <b val="1"/>
      <sz val="10"/>
    </font>
    <font>
      <name val="Verdana"/>
      <b val="1"/>
      <color rgb="FFFFFFFF"/>
      <sz val="10"/>
    </font>
    <font>
      <name val="Arial"/>
      <sz val="10"/>
    </font>
    <font>
      <name val="Arial"/>
      <color rgb="FF000000"/>
      <sz val="10"/>
    </font>
    <font>
      <name val="Arial"/>
      <color rgb="FF333333"/>
      <sz val="10"/>
    </font>
    <font>
      <name val="-apple-system"/>
      <color rgb="FF333333"/>
      <sz val="10"/>
    </font>
    <font>
      <name val="Arial"/>
      <sz val="10"/>
    </font>
    <font>
      <name val="-apple-system"/>
      <b val="1"/>
      <color rgb="FF333333"/>
      <sz val="10"/>
    </font>
    <font>
      <name val="Arial"/>
      <b val="1"/>
      <color rgb="FF333333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666666"/>
        <bgColor rgb="FF666666"/>
      </patternFill>
    </fill>
    <fill>
      <patternFill patternType="solid">
        <fgColor rgb="FFF9F9F9"/>
        <bgColor rgb="FFF9F9F9"/>
      </patternFill>
    </fill>
    <fill>
      <patternFill patternType="solid">
        <fgColor rgb="FFB7B7B7"/>
        <bgColor rgb="FFB7B7B7"/>
      </patternFill>
    </fill>
  </fills>
  <borders count="1">
    <border>
      <left/>
      <right/>
      <top/>
      <bottom/>
      <diagonal/>
    </border>
  </borders>
  <cellStyleXfs count="1">
    <xf numFmtId="0" fontId="5" fillId="0" borderId="0"/>
  </cellStyleXfs>
  <cellXfs count="34">
    <xf numFmtId="0" fontId="0" fillId="0" borderId="0" applyAlignment="1" pivotButton="0" quotePrefix="0" xfId="0">
      <alignment wrapText="1"/>
    </xf>
    <xf numFmtId="0" fontId="1" fillId="0" borderId="0" pivotButton="0" quotePrefix="0" xfId="0"/>
    <xf numFmtId="4" fontId="1" fillId="0" borderId="0" pivotButton="0" quotePrefix="0" xfId="0"/>
    <xf numFmtId="0" fontId="2" fillId="0" borderId="0" applyAlignment="1" pivotButton="0" quotePrefix="0" xfId="0">
      <alignment wrapText="1"/>
    </xf>
    <xf numFmtId="0" fontId="3" fillId="2" borderId="0" pivotButton="0" quotePrefix="0" xfId="0"/>
    <xf numFmtId="0" fontId="1" fillId="3" borderId="0" pivotButton="0" quotePrefix="0" xfId="0"/>
    <xf numFmtId="4" fontId="1" fillId="3" borderId="0" pivotButton="0" quotePrefix="0" xfId="0"/>
    <xf numFmtId="10" fontId="1" fillId="3" borderId="0" pivotButton="0" quotePrefix="0" xfId="0"/>
    <xf numFmtId="0" fontId="1" fillId="4" borderId="0" pivotButton="0" quotePrefix="0" xfId="0"/>
    <xf numFmtId="10" fontId="1" fillId="4" borderId="0" pivotButton="0" quotePrefix="0" xfId="0"/>
    <xf numFmtId="4" fontId="1" fillId="4" borderId="0" pivotButton="0" quotePrefix="0" xfId="0"/>
    <xf numFmtId="0" fontId="1" fillId="2" borderId="0" pivotButton="0" quotePrefix="0" xfId="0"/>
    <xf numFmtId="10" fontId="1" fillId="2" borderId="0" pivotButton="0" quotePrefix="0" xfId="0"/>
    <xf numFmtId="4" fontId="1" fillId="2" borderId="0" pivotButton="0" quotePrefix="0" xfId="0"/>
    <xf numFmtId="0" fontId="2" fillId="2" borderId="0" applyAlignment="1" pivotButton="0" quotePrefix="0" xfId="0">
      <alignment wrapText="1"/>
    </xf>
    <xf numFmtId="0" fontId="5" fillId="0" borderId="0" applyAlignment="1" pivotButton="0" quotePrefix="0" xfId="0">
      <alignment horizontal="right" wrapText="1"/>
    </xf>
    <xf numFmtId="0" fontId="6" fillId="3" borderId="0" applyAlignment="1" pivotButton="0" quotePrefix="0" xfId="0">
      <alignment horizontal="right" wrapText="1"/>
    </xf>
    <xf numFmtId="0" fontId="6" fillId="5" borderId="0" applyAlignment="1" pivotButton="0" quotePrefix="0" xfId="0">
      <alignment horizontal="right" wrapText="1"/>
    </xf>
    <xf numFmtId="10" fontId="7" fillId="3" borderId="0" applyAlignment="1" pivotButton="0" quotePrefix="0" xfId="0">
      <alignment horizontal="right" wrapText="1"/>
    </xf>
    <xf numFmtId="4" fontId="7" fillId="3" borderId="0" applyAlignment="1" pivotButton="0" quotePrefix="0" xfId="0">
      <alignment horizontal="right" wrapText="1"/>
    </xf>
    <xf numFmtId="0" fontId="7" fillId="3" borderId="0" applyAlignment="1" pivotButton="0" quotePrefix="0" xfId="0">
      <alignment horizontal="right" wrapText="1"/>
    </xf>
    <xf numFmtId="0" fontId="5" fillId="3" borderId="0" applyAlignment="1" pivotButton="0" quotePrefix="0" xfId="0">
      <alignment horizontal="right" wrapText="1"/>
    </xf>
    <xf numFmtId="0" fontId="4" fillId="0" borderId="0" applyAlignment="1" pivotButton="0" quotePrefix="0" xfId="0">
      <alignment horizontal="right" wrapText="1"/>
    </xf>
    <xf numFmtId="0" fontId="5" fillId="5" borderId="0" applyAlignment="1" pivotButton="0" quotePrefix="0" xfId="0">
      <alignment horizontal="right" wrapText="1"/>
    </xf>
    <xf numFmtId="0" fontId="4" fillId="5" borderId="0" applyAlignment="1" pivotButton="0" quotePrefix="0" xfId="0">
      <alignment wrapText="1"/>
    </xf>
    <xf numFmtId="0" fontId="1" fillId="6" borderId="0" pivotButton="0" quotePrefix="0" xfId="0"/>
    <xf numFmtId="0" fontId="0" fillId="3" borderId="0" pivotButton="0" quotePrefix="0" xfId="0"/>
    <xf numFmtId="0" fontId="4" fillId="3" borderId="0" applyAlignment="1" pivotButton="0" quotePrefix="0" xfId="0">
      <alignment wrapText="1"/>
    </xf>
    <xf numFmtId="10" fontId="9" fillId="6" borderId="0" applyAlignment="1" pivotButton="0" quotePrefix="0" xfId="0">
      <alignment horizontal="right" wrapText="1"/>
    </xf>
    <xf numFmtId="4" fontId="9" fillId="6" borderId="0" applyAlignment="1" pivotButton="0" quotePrefix="0" xfId="0">
      <alignment horizontal="right" wrapText="1"/>
    </xf>
    <xf numFmtId="0" fontId="10" fillId="5" borderId="0" applyAlignment="1" pivotButton="0" quotePrefix="0" xfId="0">
      <alignment horizontal="right" wrapText="1"/>
    </xf>
    <xf numFmtId="0" fontId="11" fillId="0" borderId="0" applyAlignment="1" pivotButton="0" quotePrefix="0" xfId="0">
      <alignment wrapText="1"/>
    </xf>
    <xf numFmtId="0" fontId="8" fillId="3" borderId="0" applyAlignment="1" pivotButton="0" quotePrefix="0" xfId="0">
      <alignment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P109"/>
  <sheetViews>
    <sheetView tabSelected="1" workbookViewId="0">
      <pane ySplit="1" topLeftCell="A2" activePane="bottomLeft" state="frozen"/>
      <selection pane="bottomLeft" activeCell="E18" sqref="E18"/>
    </sheetView>
  </sheetViews>
  <sheetFormatPr baseColWidth="10" defaultColWidth="15.1640625" defaultRowHeight="15.75" customHeight="1"/>
  <cols>
    <col width="32.6640625" customWidth="1" style="33" min="1" max="1"/>
    <col width="4.5" customWidth="1" style="33" min="2" max="2"/>
    <col width="12.1640625" customWidth="1" style="33" min="3" max="3"/>
    <col width="11.1640625" customWidth="1" style="33" min="4" max="9"/>
    <col width="13.1640625" customWidth="1" style="33" min="10" max="10"/>
    <col width="11.6640625" customWidth="1" style="33" min="11" max="11"/>
    <col width="11.1640625" customWidth="1" style="33" min="12" max="16"/>
  </cols>
  <sheetData>
    <row r="1" ht="14" customHeight="1" s="33">
      <c r="A1" s="1" t="inlineStr">
        <is>
          <t>Player</t>
        </is>
      </c>
      <c r="B1" s="1" t="inlineStr">
        <is>
          <t>Pick</t>
        </is>
      </c>
      <c r="C1" s="1" t="inlineStr">
        <is>
          <t>Salary</t>
        </is>
      </c>
      <c r="D1" s="1" t="inlineStr">
        <is>
          <t>Starter</t>
        </is>
      </c>
      <c r="E1" s="1" t="inlineStr">
        <is>
          <t>Points</t>
        </is>
      </c>
      <c r="F1" s="1" t="inlineStr">
        <is>
          <t>Rebounds</t>
        </is>
      </c>
      <c r="G1" s="1" t="inlineStr">
        <is>
          <t>Assists</t>
        </is>
      </c>
      <c r="H1" s="1" t="inlineStr">
        <is>
          <t>Blocks</t>
        </is>
      </c>
      <c r="I1" s="1" t="inlineStr">
        <is>
          <t>Steals</t>
        </is>
      </c>
      <c r="J1" s="1" t="inlineStr">
        <is>
          <t>FT %</t>
        </is>
      </c>
      <c r="K1" s="2" t="inlineStr">
        <is>
          <t>FG%</t>
        </is>
      </c>
      <c r="L1" s="1" t="inlineStr">
        <is>
          <t>3pm</t>
        </is>
      </c>
      <c r="M1" s="3" t="inlineStr">
        <is>
          <t>FGA</t>
        </is>
      </c>
      <c r="N1" s="3" t="inlineStr">
        <is>
          <t>FGM</t>
        </is>
      </c>
      <c r="O1" s="3" t="inlineStr">
        <is>
          <t>FTA</t>
        </is>
      </c>
      <c r="P1" s="3" t="inlineStr">
        <is>
          <t>FTM</t>
        </is>
      </c>
    </row>
    <row r="2" ht="13" customHeight="1" s="33">
      <c r="A2" s="4" t="inlineStr">
        <is>
          <t>2025-26</t>
        </is>
      </c>
      <c r="B2" s="11" t="n"/>
      <c r="C2" s="11" t="n"/>
      <c r="D2" s="11" t="n"/>
      <c r="E2" s="11" t="n"/>
      <c r="F2" s="11" t="n"/>
      <c r="G2" s="11" t="n"/>
      <c r="H2" s="11" t="n"/>
      <c r="I2" s="11" t="n"/>
      <c r="J2" s="12" t="n"/>
      <c r="K2" s="13" t="n"/>
      <c r="L2" s="11" t="n"/>
      <c r="M2" s="14" t="n"/>
      <c r="N2" s="14" t="n"/>
      <c r="O2" s="14" t="n"/>
      <c r="P2" s="14" t="n"/>
    </row>
    <row r="3" ht="14" customHeight="1" s="33">
      <c r="A3" s="27" t="inlineStr">
        <is>
          <t>De'Aaaron Fox (G) - SAS</t>
        </is>
      </c>
      <c r="B3" s="5" t="n"/>
      <c r="C3" s="5" t="n"/>
      <c r="D3" s="5" t="n"/>
      <c r="E3" s="15">
        <f>SUM(1336+327)</f>
        <v/>
      </c>
      <c r="F3" s="16">
        <f>SUM(270+79)</f>
        <v/>
      </c>
      <c r="G3" s="17">
        <f>SUM(445+125)</f>
        <v/>
      </c>
      <c r="H3" s="16">
        <f>SUM(19+9)</f>
        <v/>
      </c>
      <c r="I3" s="17">
        <f>SUM(89+27)</f>
        <v/>
      </c>
      <c r="J3" s="18" t="n"/>
      <c r="K3" s="19" t="n"/>
      <c r="L3" s="17">
        <f>SUM(131+30)</f>
        <v/>
      </c>
      <c r="M3" s="17">
        <f>SUM(1040+302)</f>
        <v/>
      </c>
      <c r="N3" s="17">
        <f>SUM(509+125)</f>
        <v/>
      </c>
      <c r="O3" s="17">
        <f>SUM(246+62)</f>
        <v/>
      </c>
      <c r="P3" s="16">
        <f>SUM(187+47)</f>
        <v/>
      </c>
    </row>
    <row r="4" ht="14" customHeight="1" s="33">
      <c r="A4" s="27" t="inlineStr">
        <is>
          <t>Stephen Curry (G) - GSW</t>
        </is>
      </c>
      <c r="B4" s="5" t="n"/>
      <c r="C4" s="5" t="n"/>
      <c r="D4" s="5" t="n"/>
      <c r="E4" s="21" t="n">
        <v>1142</v>
      </c>
      <c r="F4" s="16" t="n">
        <v>154</v>
      </c>
      <c r="G4" s="16" t="n">
        <v>203</v>
      </c>
      <c r="H4" s="16" t="n">
        <v>17</v>
      </c>
      <c r="I4" s="16" t="n">
        <v>49</v>
      </c>
      <c r="J4" s="18" t="n">
        <v>0.923</v>
      </c>
      <c r="K4" s="19" t="n">
        <v>0.468</v>
      </c>
      <c r="L4" s="16" t="n">
        <v>190</v>
      </c>
      <c r="M4" s="16" t="n">
        <v>799</v>
      </c>
      <c r="N4" s="16" t="n">
        <v>374</v>
      </c>
      <c r="O4" s="16" t="n">
        <v>221</v>
      </c>
      <c r="P4" s="16" t="n">
        <v>204</v>
      </c>
    </row>
    <row r="5" ht="14" customHeight="1" s="33">
      <c r="A5" s="27" t="inlineStr">
        <is>
          <t>Zach Lavine (G) - SAC</t>
        </is>
      </c>
      <c r="B5" s="5" t="n"/>
      <c r="C5" s="5" t="n"/>
      <c r="D5" s="5" t="n"/>
      <c r="E5" s="15" t="n">
        <v>748</v>
      </c>
      <c r="F5" s="16" t="n">
        <v>108</v>
      </c>
      <c r="G5" s="16" t="n">
        <v>89</v>
      </c>
      <c r="H5" s="16" t="n">
        <v>10</v>
      </c>
      <c r="I5" s="16" t="n">
        <v>28</v>
      </c>
      <c r="J5" s="18" t="n">
        <v>0.88</v>
      </c>
      <c r="K5" s="19" t="n">
        <v>0.479</v>
      </c>
      <c r="L5" s="16" t="n">
        <v>99</v>
      </c>
      <c r="M5" s="16" t="n">
        <v>547</v>
      </c>
      <c r="N5" s="16" t="n">
        <v>262</v>
      </c>
      <c r="O5" s="16" t="n">
        <v>142</v>
      </c>
      <c r="P5" s="16" t="n">
        <v>125</v>
      </c>
    </row>
    <row r="6" ht="14" customHeight="1" s="33">
      <c r="A6" s="27" t="inlineStr">
        <is>
          <t>Jaylen Brown (F/G) - BOS</t>
        </is>
      </c>
      <c r="B6" s="5" t="n"/>
      <c r="C6" s="5" t="n"/>
      <c r="D6" s="5" t="n"/>
      <c r="E6" s="21" t="n">
        <v>2218</v>
      </c>
      <c r="F6" s="16" t="n">
        <v>532</v>
      </c>
      <c r="G6" s="16" t="n">
        <v>387</v>
      </c>
      <c r="H6" s="16" t="n">
        <v>35</v>
      </c>
      <c r="I6" s="16" t="n">
        <v>78</v>
      </c>
      <c r="J6" s="18" t="n">
        <v>0.789</v>
      </c>
      <c r="K6" s="19" t="n">
        <v>0.475</v>
      </c>
      <c r="L6" s="20" t="n">
        <v>157</v>
      </c>
      <c r="M6" s="16" t="n">
        <v>1686</v>
      </c>
      <c r="N6" s="16" t="n">
        <v>801</v>
      </c>
      <c r="O6" s="16" t="n">
        <v>582</v>
      </c>
      <c r="P6" s="16" t="n">
        <v>459</v>
      </c>
    </row>
    <row r="7" ht="14" customHeight="1" s="33">
      <c r="A7" s="27" t="inlineStr">
        <is>
          <t>Aaron Gordon (F) - DEN</t>
        </is>
      </c>
      <c r="B7" s="5" t="n"/>
      <c r="C7" s="5" t="n"/>
      <c r="D7" s="5" t="n"/>
      <c r="E7" s="21" t="n">
        <v>616</v>
      </c>
      <c r="F7" s="16" t="n">
        <v>225</v>
      </c>
      <c r="G7" s="22" t="n">
        <v>103</v>
      </c>
      <c r="H7" s="16" t="n">
        <v>11</v>
      </c>
      <c r="I7" s="16" t="n">
        <v>21</v>
      </c>
      <c r="J7" s="18" t="n">
        <v>0.763</v>
      </c>
      <c r="K7" s="19" t="n">
        <v>0.491</v>
      </c>
      <c r="L7" s="16" t="n">
        <v>64</v>
      </c>
      <c r="M7" s="16" t="n">
        <v>428</v>
      </c>
      <c r="N7" s="16" t="n">
        <v>210</v>
      </c>
      <c r="O7" s="16" t="n">
        <v>173</v>
      </c>
      <c r="P7" s="16" t="n">
        <v>132</v>
      </c>
    </row>
    <row r="8" ht="14" customHeight="1" s="33">
      <c r="A8" s="27" t="inlineStr">
        <is>
          <t>Andre Drummond (C) - PHI</t>
        </is>
      </c>
      <c r="B8" s="5" t="n"/>
      <c r="C8" s="5" t="n"/>
      <c r="D8" s="5" t="n"/>
      <c r="E8" s="21" t="n">
        <v>446</v>
      </c>
      <c r="F8" s="16" t="n">
        <v>579</v>
      </c>
      <c r="G8" s="16" t="n">
        <v>87</v>
      </c>
      <c r="H8" s="16" t="n">
        <v>51</v>
      </c>
      <c r="I8" s="16" t="n">
        <v>42</v>
      </c>
      <c r="J8" s="18" t="n">
        <v>0.638</v>
      </c>
      <c r="K8" s="19" t="n">
        <v>0.486</v>
      </c>
      <c r="L8" s="16" t="n">
        <v>36</v>
      </c>
      <c r="M8" s="16" t="n">
        <v>360</v>
      </c>
      <c r="N8" s="16" t="n">
        <v>175</v>
      </c>
      <c r="O8" s="16" t="n">
        <v>94</v>
      </c>
      <c r="P8" s="16" t="n">
        <v>60</v>
      </c>
    </row>
    <row r="9" ht="14" customHeight="1" s="33">
      <c r="A9" s="27" t="inlineStr">
        <is>
          <t>Draymond Green (F) - GSW</t>
        </is>
      </c>
      <c r="B9" s="5" t="n"/>
      <c r="C9" s="5" t="n"/>
      <c r="D9" s="5" t="n"/>
      <c r="E9" s="21" t="n">
        <v>570</v>
      </c>
      <c r="F9" s="16" t="n">
        <v>375</v>
      </c>
      <c r="G9" s="16" t="n">
        <v>376</v>
      </c>
      <c r="H9" s="16" t="n">
        <v>42</v>
      </c>
      <c r="I9" s="16" t="n">
        <v>61</v>
      </c>
      <c r="J9" s="18" t="n">
        <v>0.702</v>
      </c>
      <c r="K9" s="19" t="n">
        <v>0.418</v>
      </c>
      <c r="L9" s="16" t="n">
        <v>101</v>
      </c>
      <c r="M9" s="16" t="n">
        <v>491</v>
      </c>
      <c r="N9" s="16" t="n">
        <v>205</v>
      </c>
      <c r="O9" s="16" t="n">
        <v>84</v>
      </c>
      <c r="P9" s="16" t="n">
        <v>59</v>
      </c>
    </row>
    <row r="10" ht="14" customHeight="1" s="33">
      <c r="A10" s="27" t="inlineStr">
        <is>
          <t>D'Angelo Russell (G) - BKN</t>
        </is>
      </c>
      <c r="B10" s="5" t="n"/>
      <c r="C10" s="5" t="n"/>
      <c r="D10" s="5" t="n"/>
      <c r="E10" s="21" t="n">
        <v>264</v>
      </c>
      <c r="F10" s="16" t="n">
        <v>61</v>
      </c>
      <c r="G10" s="16" t="n">
        <v>104</v>
      </c>
      <c r="H10" s="16" t="n">
        <v>2</v>
      </c>
      <c r="I10" s="16" t="n">
        <v>12</v>
      </c>
      <c r="J10" s="18" t="n">
        <v>0.717</v>
      </c>
      <c r="K10" s="19" t="n">
        <v>0.405</v>
      </c>
      <c r="L10" s="16" t="n">
        <v>33</v>
      </c>
      <c r="M10" s="16" t="n">
        <v>232</v>
      </c>
      <c r="N10" s="16" t="n">
        <v>94</v>
      </c>
      <c r="O10" s="16" t="n">
        <v>60</v>
      </c>
      <c r="P10" s="16" t="n">
        <v>43</v>
      </c>
    </row>
    <row r="11" ht="14" customHeight="1" s="33">
      <c r="A11" s="27" t="inlineStr">
        <is>
          <t>Karl-Anthony Towns (C) - MIN</t>
        </is>
      </c>
      <c r="B11" s="5" t="n"/>
      <c r="C11" s="5" t="n"/>
      <c r="D11" s="5" t="n"/>
      <c r="E11" s="21" t="n">
        <v>1806</v>
      </c>
      <c r="F11" s="16" t="n">
        <v>1090</v>
      </c>
      <c r="G11" s="16" t="n">
        <v>320</v>
      </c>
      <c r="H11" s="16" t="n">
        <v>64</v>
      </c>
      <c r="I11" s="16" t="n">
        <v>89</v>
      </c>
      <c r="J11" s="18" t="n">
        <v>0.866</v>
      </c>
      <c r="K11" s="19" t="n">
        <v>0.509</v>
      </c>
      <c r="L11" s="16" t="n">
        <v>139</v>
      </c>
      <c r="M11" s="16" t="n">
        <v>1219</v>
      </c>
      <c r="N11" s="16" t="n">
        <v>620</v>
      </c>
      <c r="O11" s="16" t="n">
        <v>493</v>
      </c>
      <c r="P11" s="16" t="n">
        <v>427</v>
      </c>
    </row>
    <row r="12" ht="14" customHeight="1" s="33">
      <c r="A12" s="27" t="inlineStr">
        <is>
          <t>Domantas Sabonis (F/C) - SAC</t>
        </is>
      </c>
      <c r="B12" s="5" t="n"/>
      <c r="C12" s="5" t="n"/>
      <c r="D12" s="5" t="n"/>
      <c r="E12" s="21" t="n">
        <v>301</v>
      </c>
      <c r="F12" s="16" t="n">
        <v>216</v>
      </c>
      <c r="G12" s="16" t="n">
        <v>78</v>
      </c>
      <c r="H12" s="16" t="n">
        <v>4</v>
      </c>
      <c r="I12" s="16" t="n">
        <v>18</v>
      </c>
      <c r="J12" s="18" t="n">
        <v>0.727</v>
      </c>
      <c r="K12" s="19" t="n">
        <v>0.543</v>
      </c>
      <c r="L12" s="16" t="n">
        <v>5</v>
      </c>
      <c r="M12" s="16" t="n">
        <v>221</v>
      </c>
      <c r="N12" s="16" t="n">
        <v>120</v>
      </c>
      <c r="O12" s="16" t="n">
        <v>77</v>
      </c>
      <c r="P12" s="16" t="n">
        <v>56</v>
      </c>
    </row>
    <row r="13" ht="14" customHeight="1" s="33">
      <c r="A13" s="27" t="inlineStr">
        <is>
          <t>Buddy Hield (G) - GSW</t>
        </is>
      </c>
      <c r="B13" s="5" t="n"/>
      <c r="C13" s="5" t="n"/>
      <c r="D13" s="5" t="n"/>
      <c r="E13" s="21" t="n">
        <v>400</v>
      </c>
      <c r="F13" s="16" t="n">
        <v>118</v>
      </c>
      <c r="G13" s="22" t="n">
        <v>71</v>
      </c>
      <c r="H13" s="16" t="n">
        <v>9</v>
      </c>
      <c r="I13" s="16" t="n">
        <v>39</v>
      </c>
      <c r="J13" s="18" t="n">
        <v>0.8110000000000001</v>
      </c>
      <c r="K13" s="19" t="n">
        <v>0.443</v>
      </c>
      <c r="L13" s="16" t="n">
        <v>76</v>
      </c>
      <c r="M13" s="16" t="n">
        <v>332</v>
      </c>
      <c r="N13" s="16" t="n">
        <v>147</v>
      </c>
      <c r="O13" s="16" t="n">
        <v>37</v>
      </c>
      <c r="P13" s="16" t="n">
        <v>30</v>
      </c>
    </row>
    <row r="14" ht="14" customHeight="1" s="33">
      <c r="A14" s="27" t="inlineStr">
        <is>
          <t>Brandon Ingram (F) - NOR</t>
        </is>
      </c>
      <c r="B14" s="5" t="n"/>
      <c r="C14" s="5" t="n"/>
      <c r="D14" s="5" t="n"/>
      <c r="E14" s="21" t="n">
        <v>1715</v>
      </c>
      <c r="F14" s="16" t="n">
        <v>446</v>
      </c>
      <c r="G14" s="16" t="n">
        <v>295</v>
      </c>
      <c r="H14" s="16" t="n">
        <v>59</v>
      </c>
      <c r="I14" s="16" t="n">
        <v>61</v>
      </c>
      <c r="J14" s="18" t="n">
        <v>0.8149999999999999</v>
      </c>
      <c r="K14" s="19" t="n">
        <v>0.47</v>
      </c>
      <c r="L14" s="16" t="n">
        <v>140</v>
      </c>
      <c r="M14" s="16" t="n">
        <v>1346</v>
      </c>
      <c r="N14" s="16" t="n">
        <v>633</v>
      </c>
      <c r="O14" s="16" t="n">
        <v>379</v>
      </c>
      <c r="P14" s="16" t="n">
        <v>309</v>
      </c>
    </row>
    <row r="15" ht="14" customHeight="1" s="33">
      <c r="A15" s="27" t="inlineStr">
        <is>
          <t>Jayson Tatum (F/G) - BOS</t>
        </is>
      </c>
      <c r="B15" s="5" t="n"/>
      <c r="C15" s="5" t="n"/>
      <c r="D15" s="5" t="n"/>
      <c r="E15" s="21" t="n">
        <v>488</v>
      </c>
      <c r="F15" s="16" t="n">
        <v>224</v>
      </c>
      <c r="G15" s="16" t="n">
        <v>126</v>
      </c>
      <c r="H15" s="16" t="n">
        <v>3</v>
      </c>
      <c r="I15" s="16" t="n">
        <v>29</v>
      </c>
      <c r="J15" s="18" t="n">
        <v>0.8110000000000001</v>
      </c>
      <c r="K15" s="19" t="n">
        <v>0.428</v>
      </c>
      <c r="L15" s="16" t="n">
        <v>66</v>
      </c>
      <c r="M15" s="16" t="n">
        <v>388</v>
      </c>
      <c r="N15" s="16" t="n">
        <v>166</v>
      </c>
      <c r="O15" s="16" t="n">
        <v>111</v>
      </c>
      <c r="P15" s="16" t="n">
        <v>90</v>
      </c>
    </row>
    <row r="16" ht="14" customHeight="1" s="33">
      <c r="A16" s="27" t="inlineStr">
        <is>
          <t>Bam Adebayo (C/F) - MIA</t>
        </is>
      </c>
      <c r="B16" s="5" t="n"/>
      <c r="C16" s="5" t="n"/>
      <c r="D16" s="5" t="n"/>
      <c r="E16" s="21" t="n">
        <v>1468</v>
      </c>
      <c r="F16" s="16" t="n">
        <v>732</v>
      </c>
      <c r="G16" s="16" t="n">
        <v>232</v>
      </c>
      <c r="H16" s="16" t="n">
        <v>49</v>
      </c>
      <c r="I16" s="16" t="n">
        <v>86</v>
      </c>
      <c r="J16" s="18" t="n">
        <v>0.778</v>
      </c>
      <c r="K16" s="19" t="n">
        <v>0.442</v>
      </c>
      <c r="L16" s="16" t="n">
        <v>127</v>
      </c>
      <c r="M16" s="16" t="n">
        <v>1145</v>
      </c>
      <c r="N16" s="16" t="n">
        <v>506</v>
      </c>
      <c r="O16" s="16" t="n">
        <v>423</v>
      </c>
      <c r="P16" s="16" t="n">
        <v>329</v>
      </c>
    </row>
    <row r="17" ht="14" customHeight="1" s="33">
      <c r="A17" s="27" t="inlineStr">
        <is>
          <t>Mitchell Robinson (C) - NYK</t>
        </is>
      </c>
      <c r="B17" s="5" t="n"/>
      <c r="C17" s="5" t="n"/>
      <c r="D17" s="5" t="n"/>
      <c r="E17" s="15" t="n">
        <v>427</v>
      </c>
      <c r="F17" s="16" t="n">
        <v>624</v>
      </c>
      <c r="G17" s="17" t="n">
        <v>59</v>
      </c>
      <c r="H17" s="16" t="n">
        <v>81</v>
      </c>
      <c r="I17" s="17" t="n">
        <v>63</v>
      </c>
      <c r="J17" s="18" t="n">
        <v>0.366</v>
      </c>
      <c r="K17" s="19" t="n">
        <v>0.713</v>
      </c>
      <c r="L17" s="24" t="n">
        <v>0</v>
      </c>
      <c r="M17" s="17" t="n">
        <v>258</v>
      </c>
      <c r="N17" s="17" t="n">
        <v>184</v>
      </c>
      <c r="O17" s="17" t="n">
        <v>161</v>
      </c>
      <c r="P17" s="16" t="n">
        <v>59</v>
      </c>
    </row>
    <row r="18" ht="14" customHeight="1" s="33">
      <c r="A18" s="27" t="inlineStr">
        <is>
          <t>Collin Sexton (G) - UTH</t>
        </is>
      </c>
      <c r="B18" s="5" t="n"/>
      <c r="C18" s="5" t="n"/>
      <c r="D18" s="5" t="n"/>
      <c r="E18" s="15" t="n">
        <v>1050</v>
      </c>
      <c r="F18" s="16" t="n">
        <v>155</v>
      </c>
      <c r="G18" s="17" t="n">
        <v>223</v>
      </c>
      <c r="H18" s="16" t="n">
        <v>10</v>
      </c>
      <c r="I18" s="17" t="n">
        <v>76</v>
      </c>
      <c r="J18" s="18" t="n">
        <v>0.855</v>
      </c>
      <c r="K18" s="19" t="n">
        <v>0.485</v>
      </c>
      <c r="L18" s="17" t="n">
        <v>112</v>
      </c>
      <c r="M18" s="17" t="n">
        <v>742</v>
      </c>
      <c r="N18" s="17" t="n">
        <v>360</v>
      </c>
      <c r="O18" s="17" t="n">
        <v>255</v>
      </c>
      <c r="P18" s="16" t="n">
        <v>218</v>
      </c>
    </row>
    <row r="19" ht="14" customHeight="1" s="33">
      <c r="A19" s="27" t="inlineStr">
        <is>
          <t>Luka Doncic (G/F) - DAL</t>
        </is>
      </c>
      <c r="B19" s="5" t="n"/>
      <c r="C19" s="5" t="n"/>
      <c r="D19" s="5" t="n"/>
      <c r="E19" s="21" t="n">
        <v>2143</v>
      </c>
      <c r="F19" s="16" t="n">
        <v>495</v>
      </c>
      <c r="G19" s="16" t="n">
        <v>530</v>
      </c>
      <c r="H19" s="16" t="n">
        <v>34</v>
      </c>
      <c r="I19" s="16" t="n">
        <v>105</v>
      </c>
      <c r="J19" s="18" t="n">
        <v>0.78</v>
      </c>
      <c r="K19" s="19" t="n">
        <v>0.476</v>
      </c>
      <c r="L19" s="16" t="n">
        <v>254</v>
      </c>
      <c r="M19" s="16" t="n">
        <v>1457</v>
      </c>
      <c r="N19" s="16" t="n">
        <v>693</v>
      </c>
      <c r="O19" s="16" t="n">
        <v>645</v>
      </c>
      <c r="P19" s="16" t="n">
        <v>503</v>
      </c>
    </row>
    <row r="20" ht="14" customHeight="1" s="33">
      <c r="A20" s="27" t="inlineStr">
        <is>
          <t>Miles Bridges (F) - CHA</t>
        </is>
      </c>
      <c r="B20" s="5" t="n"/>
      <c r="C20" s="5" t="n"/>
      <c r="D20" s="5" t="n"/>
      <c r="E20" s="15" t="n">
        <v>1314</v>
      </c>
      <c r="F20" s="16" t="n">
        <v>450</v>
      </c>
      <c r="G20" s="17" t="n">
        <v>246</v>
      </c>
      <c r="H20" s="16" t="n">
        <v>34</v>
      </c>
      <c r="I20" s="17" t="n">
        <v>46</v>
      </c>
      <c r="J20" s="18" t="n">
        <v>0.822</v>
      </c>
      <c r="K20" s="19" t="n">
        <v>0.46</v>
      </c>
      <c r="L20" s="17" t="n">
        <v>148</v>
      </c>
      <c r="M20" s="17" t="n">
        <v>1042</v>
      </c>
      <c r="N20" s="17" t="n">
        <v>479</v>
      </c>
      <c r="O20" s="17" t="n">
        <v>253</v>
      </c>
      <c r="P20" s="16" t="n">
        <v>208</v>
      </c>
    </row>
    <row r="21" ht="14" customHeight="1" s="33">
      <c r="A21" s="27" t="inlineStr">
        <is>
          <t>Coby White (G) - CHI</t>
        </is>
      </c>
      <c r="B21" s="5" t="n"/>
      <c r="C21" s="5" t="n"/>
      <c r="D21" s="5" t="n"/>
      <c r="E21" s="21" t="n">
        <v>868</v>
      </c>
      <c r="F21" s="16" t="n">
        <v>170</v>
      </c>
      <c r="G21" s="16" t="n">
        <v>200</v>
      </c>
      <c r="H21" s="16" t="n">
        <v>5</v>
      </c>
      <c r="I21" s="16" t="n">
        <v>25</v>
      </c>
      <c r="J21" s="18" t="n">
        <v>0.8169999999999999</v>
      </c>
      <c r="K21" s="19" t="n">
        <v>0.446</v>
      </c>
      <c r="L21" s="16" t="n">
        <v>115</v>
      </c>
      <c r="M21" s="16" t="n">
        <v>623</v>
      </c>
      <c r="N21" s="16" t="n">
        <v>278</v>
      </c>
      <c r="O21" s="16" t="n">
        <v>241</v>
      </c>
      <c r="P21" s="16" t="n">
        <v>197</v>
      </c>
    </row>
    <row r="22" ht="14" customHeight="1" s="33">
      <c r="A22" s="27" t="inlineStr">
        <is>
          <t>Ja Morant (G) - MEM</t>
        </is>
      </c>
      <c r="B22" s="5" t="n"/>
      <c r="C22" s="5" t="n"/>
      <c r="D22" s="5" t="n"/>
      <c r="E22" s="21" t="n">
        <v>389</v>
      </c>
      <c r="F22" s="16" t="n">
        <v>65</v>
      </c>
      <c r="G22" s="16" t="n">
        <v>161</v>
      </c>
      <c r="H22" s="16" t="n">
        <v>6</v>
      </c>
      <c r="I22" s="16" t="n">
        <v>20</v>
      </c>
      <c r="J22" s="18" t="n">
        <v>0.897</v>
      </c>
      <c r="K22" s="19" t="n">
        <v>0.41</v>
      </c>
      <c r="L22" s="16" t="n">
        <v>20</v>
      </c>
      <c r="M22" s="16" t="n">
        <v>322</v>
      </c>
      <c r="N22" s="16" t="n">
        <v>132</v>
      </c>
      <c r="O22" s="16" t="n">
        <v>117</v>
      </c>
      <c r="P22" s="16" t="n">
        <v>105</v>
      </c>
    </row>
    <row r="23" ht="13" customHeight="1" s="33">
      <c r="A23" s="26" t="inlineStr">
        <is>
          <t>Anthony Edwards (G) - MIN</t>
        </is>
      </c>
      <c r="B23" s="26" t="n"/>
      <c r="C23" s="26" t="n"/>
      <c r="D23" s="26" t="n"/>
      <c r="E23" s="26" t="n">
        <v>1973</v>
      </c>
      <c r="F23" s="26" t="n">
        <v>359</v>
      </c>
      <c r="G23" s="26" t="n">
        <v>253</v>
      </c>
      <c r="H23" s="26" t="n">
        <v>56</v>
      </c>
      <c r="I23" s="26" t="n">
        <v>88</v>
      </c>
      <c r="J23" s="18" t="n">
        <v>0.799</v>
      </c>
      <c r="K23" s="19" t="n">
        <v>0.481</v>
      </c>
      <c r="L23" s="26" t="n">
        <v>225</v>
      </c>
      <c r="M23" s="26" t="n">
        <v>1411</v>
      </c>
      <c r="N23" s="26" t="n">
        <v>679</v>
      </c>
      <c r="O23" s="26" t="n">
        <v>488</v>
      </c>
      <c r="P23" s="26" t="n">
        <v>390</v>
      </c>
    </row>
    <row r="24" ht="13" customHeight="1" s="33">
      <c r="A24" s="26" t="inlineStr">
        <is>
          <t>Jalen Green (G) - HOU</t>
        </is>
      </c>
      <c r="B24" s="26" t="n"/>
      <c r="C24" s="26" t="n"/>
      <c r="D24" s="26" t="n"/>
      <c r="E24" s="26" t="n">
        <v>655</v>
      </c>
      <c r="F24" s="26" t="n">
        <v>137</v>
      </c>
      <c r="G24" s="26" t="n">
        <v>105</v>
      </c>
      <c r="H24" s="26" t="n">
        <v>9</v>
      </c>
      <c r="I24" s="26" t="n">
        <v>42</v>
      </c>
      <c r="J24" s="18" t="n">
        <v>0.757</v>
      </c>
      <c r="K24" s="19" t="n">
        <v>0.417</v>
      </c>
      <c r="L24" s="26" t="n">
        <v>78</v>
      </c>
      <c r="M24" s="26" t="n">
        <v>595</v>
      </c>
      <c r="N24" s="26" t="n">
        <v>248</v>
      </c>
      <c r="O24" s="26" t="n">
        <v>107</v>
      </c>
      <c r="P24" s="26" t="n">
        <v>81</v>
      </c>
    </row>
    <row r="25" ht="13" customHeight="1" s="33">
      <c r="A25" s="26" t="inlineStr">
        <is>
          <t>Evan Mobley (F/C) - CLE</t>
        </is>
      </c>
      <c r="B25" s="26" t="n"/>
      <c r="C25" s="26" t="n"/>
      <c r="D25" s="26" t="n"/>
      <c r="E25" s="26" t="n">
        <v>1486</v>
      </c>
      <c r="F25" s="26" t="n">
        <v>731</v>
      </c>
      <c r="G25" s="26" t="n">
        <v>304</v>
      </c>
      <c r="H25" s="26" t="n">
        <v>145</v>
      </c>
      <c r="I25" s="26" t="n">
        <v>65</v>
      </c>
      <c r="J25" s="18" t="n">
        <v>0.609</v>
      </c>
      <c r="K25" s="19" t="n">
        <v>0.544</v>
      </c>
      <c r="L25" s="26" t="n">
        <v>86</v>
      </c>
      <c r="M25" s="26" t="n">
        <v>1072</v>
      </c>
      <c r="N25" s="26" t="n">
        <v>583</v>
      </c>
      <c r="O25" s="26" t="n">
        <v>384</v>
      </c>
      <c r="P25" s="26" t="n">
        <v>234</v>
      </c>
    </row>
    <row r="26" ht="13" customHeight="1" s="33">
      <c r="A26" s="26" t="inlineStr">
        <is>
          <t>Jaden Ivey (G) - DET</t>
        </is>
      </c>
      <c r="B26" s="26" t="n"/>
      <c r="C26" s="26" t="n"/>
      <c r="D26" s="26" t="n"/>
      <c r="E26" s="26" t="n">
        <v>316</v>
      </c>
      <c r="F26" s="26" t="n">
        <v>91</v>
      </c>
      <c r="G26" s="26" t="n">
        <v>68</v>
      </c>
      <c r="H26" s="26" t="n">
        <v>14</v>
      </c>
      <c r="I26" s="26" t="n">
        <v>23</v>
      </c>
      <c r="J26" s="18" t="n">
        <v>0.8090000000000001</v>
      </c>
      <c r="K26" s="19" t="n">
        <v>0.445</v>
      </c>
      <c r="L26" s="26" t="n">
        <v>50</v>
      </c>
      <c r="M26" s="26" t="n">
        <v>256</v>
      </c>
      <c r="N26" s="26" t="n">
        <v>114</v>
      </c>
      <c r="O26" s="26" t="n">
        <v>47</v>
      </c>
      <c r="P26" s="26" t="n">
        <v>38</v>
      </c>
    </row>
    <row r="27" ht="13" customHeight="1" s="33">
      <c r="A27" s="26" t="inlineStr">
        <is>
          <t>Bennedict Mathurin (G) - IND</t>
        </is>
      </c>
      <c r="B27" s="26" t="n"/>
      <c r="C27" s="26" t="n"/>
      <c r="D27" s="26" t="n"/>
      <c r="E27" s="26" t="n">
        <v>949</v>
      </c>
      <c r="F27" s="26" t="n">
        <v>293</v>
      </c>
      <c r="G27" s="26" t="n">
        <v>129</v>
      </c>
      <c r="H27" s="26" t="n">
        <v>13</v>
      </c>
      <c r="I27" s="26" t="n">
        <v>43</v>
      </c>
      <c r="J27" s="18" t="n">
        <v>0.869</v>
      </c>
      <c r="K27" s="19" t="n">
        <v>0.43</v>
      </c>
      <c r="L27" s="26" t="n">
        <v>75</v>
      </c>
      <c r="M27" s="26" t="n">
        <v>677</v>
      </c>
      <c r="N27" s="26" t="n">
        <v>291</v>
      </c>
      <c r="O27" s="26" t="n">
        <v>336</v>
      </c>
      <c r="P27" s="26" t="n">
        <v>292</v>
      </c>
    </row>
    <row r="28" ht="13" customHeight="1" s="33">
      <c r="A28" s="26" t="inlineStr">
        <is>
          <t>Tyrese Maxey (G) - PHI</t>
        </is>
      </c>
      <c r="B28" s="26" t="n"/>
      <c r="C28" s="26" t="n"/>
      <c r="D28" s="26" t="n"/>
      <c r="E28" s="26" t="n">
        <v>2241</v>
      </c>
      <c r="F28" s="26" t="n">
        <v>334</v>
      </c>
      <c r="G28" s="26" t="n">
        <v>526</v>
      </c>
      <c r="H28" s="26" t="n">
        <v>59</v>
      </c>
      <c r="I28" s="26" t="n">
        <v>139</v>
      </c>
      <c r="J28" s="18" t="n">
        <v>0.892</v>
      </c>
      <c r="K28" s="19" t="n">
        <v>0.461</v>
      </c>
      <c r="L28" s="26" t="n">
        <v>246</v>
      </c>
      <c r="M28" s="26" t="n">
        <v>1712</v>
      </c>
      <c r="N28" s="26" t="n">
        <v>790</v>
      </c>
      <c r="O28" s="26" t="n">
        <v>465</v>
      </c>
      <c r="P28" s="26" t="n">
        <v>415</v>
      </c>
    </row>
    <row r="29" ht="13" customHeight="1" s="33">
      <c r="A29" s="26" t="inlineStr">
        <is>
          <t>Mark Williams (C) - CHA</t>
        </is>
      </c>
      <c r="B29" s="26" t="n"/>
      <c r="C29" s="26" t="n"/>
      <c r="D29" s="26" t="n"/>
      <c r="E29" s="26" t="n">
        <v>700</v>
      </c>
      <c r="F29" s="26" t="n">
        <v>477</v>
      </c>
      <c r="G29" s="26" t="n">
        <v>58</v>
      </c>
      <c r="H29" s="26" t="n">
        <v>55</v>
      </c>
      <c r="I29" s="26" t="n">
        <v>55</v>
      </c>
      <c r="J29" s="18" t="n">
        <v>0.771</v>
      </c>
      <c r="K29" s="19" t="n">
        <v>0.644</v>
      </c>
      <c r="L29" s="26" t="n">
        <v>1</v>
      </c>
      <c r="M29" s="26" t="n">
        <v>438</v>
      </c>
      <c r="N29" s="26" t="n">
        <v>282</v>
      </c>
      <c r="O29" s="26" t="n">
        <v>175</v>
      </c>
      <c r="P29" s="26" t="n">
        <v>135</v>
      </c>
    </row>
    <row r="30" ht="13" customHeight="1" s="33">
      <c r="A30" s="26" t="inlineStr">
        <is>
          <t>Jalen Brunson (G) - NYC</t>
        </is>
      </c>
      <c r="B30" s="26" t="n"/>
      <c r="C30" s="26" t="n"/>
      <c r="D30" s="26" t="n"/>
      <c r="E30" s="26" t="n">
        <v>2466</v>
      </c>
      <c r="F30" s="26" t="n">
        <v>307</v>
      </c>
      <c r="G30" s="26" t="n">
        <v>618</v>
      </c>
      <c r="H30" s="26" t="n">
        <v>8</v>
      </c>
      <c r="I30" s="26" t="n">
        <v>80</v>
      </c>
      <c r="J30" s="18" t="n">
        <v>0.842</v>
      </c>
      <c r="K30" s="19" t="n">
        <v>0.467</v>
      </c>
      <c r="L30" s="26" t="n">
        <v>240</v>
      </c>
      <c r="M30" s="26" t="n">
        <v>1888</v>
      </c>
      <c r="N30" s="26" t="n">
        <v>881</v>
      </c>
      <c r="O30" s="26" t="n">
        <v>551</v>
      </c>
      <c r="P30" s="26" t="n">
        <v>464</v>
      </c>
    </row>
    <row r="31" ht="13" customHeight="1" s="33">
      <c r="A31" s="26" t="inlineStr">
        <is>
          <t>Amen Thompson (F) - HOU</t>
        </is>
      </c>
      <c r="B31" s="26" t="n"/>
      <c r="C31" s="26" t="n"/>
      <c r="D31" s="26" t="n"/>
      <c r="E31" s="26" t="n">
        <v>1558</v>
      </c>
      <c r="F31" s="26" t="n">
        <v>656</v>
      </c>
      <c r="G31" s="26" t="n">
        <v>454</v>
      </c>
      <c r="H31" s="26" t="n">
        <v>55</v>
      </c>
      <c r="I31" s="26" t="n">
        <v>131</v>
      </c>
      <c r="J31" s="18" t="n">
        <v>0.773</v>
      </c>
      <c r="K31" s="19" t="n">
        <v>0.53</v>
      </c>
      <c r="L31" s="26" t="n">
        <v>27</v>
      </c>
      <c r="M31" s="26" t="n">
        <v>1130</v>
      </c>
      <c r="N31" s="26" t="n">
        <v>599</v>
      </c>
      <c r="O31" s="26" t="n">
        <v>431</v>
      </c>
      <c r="P31" s="26" t="n">
        <v>333</v>
      </c>
    </row>
    <row r="32" ht="13" customHeight="1" s="33">
      <c r="A32" s="26" t="inlineStr">
        <is>
          <t>Ausar Thompson (F) - DET</t>
        </is>
      </c>
      <c r="B32" s="26" t="n"/>
      <c r="C32" s="26" t="n"/>
      <c r="D32" s="26" t="n"/>
      <c r="E32" s="26" t="n">
        <v>836</v>
      </c>
      <c r="F32" s="26" t="n">
        <v>528</v>
      </c>
      <c r="G32" s="26" t="n">
        <v>272</v>
      </c>
      <c r="H32" s="26" t="n">
        <v>94</v>
      </c>
      <c r="I32" s="26" t="n">
        <v>174</v>
      </c>
      <c r="J32" s="18" t="n">
        <v>0.5629999999999999</v>
      </c>
      <c r="K32" s="19" t="n">
        <v>0.522</v>
      </c>
      <c r="L32" s="26" t="n">
        <v>7</v>
      </c>
      <c r="M32" s="26" t="n">
        <v>674</v>
      </c>
      <c r="N32" s="26" t="n">
        <v>352</v>
      </c>
      <c r="O32" s="26" t="n">
        <v>222</v>
      </c>
      <c r="P32" s="26" t="n">
        <v>125</v>
      </c>
    </row>
    <row r="33" ht="13" customHeight="1" s="33">
      <c r="A33" s="26" t="inlineStr">
        <is>
          <t>Cam Thomas</t>
        </is>
      </c>
      <c r="B33" s="26" t="n"/>
      <c r="C33" s="26" t="n"/>
      <c r="D33" s="26" t="n"/>
      <c r="E33" s="26" t="n">
        <v>567</v>
      </c>
      <c r="F33" s="26" t="n">
        <v>71</v>
      </c>
      <c r="G33" s="26" t="n">
        <v>108</v>
      </c>
      <c r="H33" s="26" t="n">
        <v>4</v>
      </c>
      <c r="I33" s="26" t="n">
        <v>9</v>
      </c>
      <c r="J33" s="18" t="n">
        <v>0.8110000000000001</v>
      </c>
      <c r="K33" s="19" t="n">
        <v>0.41</v>
      </c>
      <c r="L33" s="26" t="n">
        <v>52</v>
      </c>
      <c r="M33" s="26" t="n">
        <v>461</v>
      </c>
      <c r="N33" s="26" t="n">
        <v>189</v>
      </c>
      <c r="O33" s="26" t="n">
        <v>169</v>
      </c>
      <c r="P33" s="26" t="n">
        <v>137</v>
      </c>
    </row>
    <row r="34" ht="13" customHeight="1" s="33">
      <c r="A34" s="26" t="inlineStr">
        <is>
          <t>Derrick White</t>
        </is>
      </c>
      <c r="B34" s="26" t="n"/>
      <c r="C34" s="26" t="n"/>
      <c r="D34" s="26" t="n"/>
      <c r="E34" s="26" t="n">
        <v>1345</v>
      </c>
      <c r="F34" s="26" t="n">
        <v>362</v>
      </c>
      <c r="G34" s="26" t="n">
        <v>436</v>
      </c>
      <c r="H34" s="26" t="n">
        <v>108</v>
      </c>
      <c r="I34" s="26" t="n">
        <v>94</v>
      </c>
      <c r="J34" s="18" t="n">
        <v>0.899</v>
      </c>
      <c r="K34" s="19" t="n">
        <v>0.389</v>
      </c>
      <c r="L34" s="26" t="n">
        <v>224</v>
      </c>
      <c r="M34" s="26" t="n">
        <v>1189</v>
      </c>
      <c r="N34" s="26" t="n">
        <v>463</v>
      </c>
      <c r="O34" s="26" t="n">
        <v>217</v>
      </c>
      <c r="P34" s="26" t="n">
        <v>195</v>
      </c>
    </row>
    <row r="35" ht="13" customHeight="1" s="33">
      <c r="A35" s="26" t="inlineStr">
        <is>
          <t>Christian Braun</t>
        </is>
      </c>
      <c r="B35" s="26" t="n"/>
      <c r="C35" s="26" t="n"/>
      <c r="D35" s="26" t="n"/>
      <c r="E35" s="26" t="n">
        <v>576</v>
      </c>
      <c r="F35" s="26" t="n">
        <v>232</v>
      </c>
      <c r="G35" s="26" t="n">
        <v>130</v>
      </c>
      <c r="H35" s="26" t="n">
        <v>17</v>
      </c>
      <c r="I35" s="26" t="n">
        <v>36</v>
      </c>
      <c r="J35" s="18" t="n">
        <v>0.775</v>
      </c>
      <c r="K35" s="19" t="n">
        <v>0.511</v>
      </c>
      <c r="L35" s="26" t="n">
        <v>49</v>
      </c>
      <c r="M35" s="26" t="n">
        <v>425</v>
      </c>
      <c r="N35" s="26" t="n">
        <v>217</v>
      </c>
      <c r="O35" s="26" t="n">
        <v>120</v>
      </c>
      <c r="P35" s="26" t="n">
        <v>93</v>
      </c>
    </row>
    <row r="36" ht="13" customHeight="1" s="33">
      <c r="A36" s="26" t="inlineStr">
        <is>
          <t>Bilal Coulibaly</t>
        </is>
      </c>
      <c r="B36" s="26" t="n"/>
      <c r="C36" s="26" t="n"/>
      <c r="D36" s="26" t="n"/>
      <c r="E36" s="26" t="n">
        <v>657</v>
      </c>
      <c r="F36" s="26" t="n">
        <v>243</v>
      </c>
      <c r="G36" s="26" t="n">
        <v>145</v>
      </c>
      <c r="H36" s="26" t="n">
        <v>54</v>
      </c>
      <c r="I36" s="26" t="n">
        <v>75</v>
      </c>
      <c r="J36" s="18" t="n">
        <v>0.746</v>
      </c>
      <c r="K36" s="19" t="n">
        <v>0.425</v>
      </c>
      <c r="L36" s="26" t="n">
        <v>65</v>
      </c>
      <c r="M36" s="26" t="n">
        <v>541</v>
      </c>
      <c r="N36" s="26" t="n">
        <v>230</v>
      </c>
      <c r="O36" s="26" t="n">
        <v>177</v>
      </c>
      <c r="P36" s="26" t="n">
        <v>132</v>
      </c>
    </row>
    <row r="37" ht="13" customHeight="1" s="33">
      <c r="A37" s="26" t="inlineStr">
        <is>
          <t>Deni Avdija</t>
        </is>
      </c>
      <c r="B37" s="26" t="n"/>
      <c r="C37" s="26" t="n"/>
      <c r="D37" s="26" t="n"/>
      <c r="E37" s="26" t="n">
        <v>1709</v>
      </c>
      <c r="F37" s="26" t="n">
        <v>484</v>
      </c>
      <c r="G37" s="26" t="n">
        <v>465</v>
      </c>
      <c r="H37" s="26" t="n">
        <v>44</v>
      </c>
      <c r="I37" s="26" t="n">
        <v>53</v>
      </c>
      <c r="J37" s="18" t="n">
        <v>0.796</v>
      </c>
      <c r="K37" s="19" t="n">
        <v>0.461</v>
      </c>
      <c r="L37" s="26" t="n">
        <v>132</v>
      </c>
      <c r="M37" s="26" t="n">
        <v>1142</v>
      </c>
      <c r="N37" s="26" t="n">
        <v>527</v>
      </c>
      <c r="O37" s="26" t="n">
        <v>657</v>
      </c>
      <c r="P37" s="26" t="n">
        <v>523</v>
      </c>
    </row>
    <row r="38" ht="13" customHeight="1" s="33">
      <c r="A38" s="26" t="inlineStr">
        <is>
          <t>VJ Edgecombe</t>
        </is>
      </c>
      <c r="B38" s="26" t="n"/>
      <c r="C38" s="26" t="n"/>
      <c r="D38" s="26" t="n"/>
      <c r="E38" s="26" t="n">
        <v>1353</v>
      </c>
      <c r="F38" s="26" t="n">
        <v>490</v>
      </c>
      <c r="G38" s="26" t="n">
        <v>352</v>
      </c>
      <c r="H38" s="26" t="n">
        <v>43</v>
      </c>
      <c r="I38" s="26" t="n">
        <v>118</v>
      </c>
      <c r="J38" s="18" t="n">
        <v>0.8090000000000001</v>
      </c>
      <c r="K38" s="19" t="n">
        <v>0.435</v>
      </c>
      <c r="L38" s="26" t="n">
        <v>170</v>
      </c>
      <c r="M38" s="26" t="n">
        <v>1175</v>
      </c>
      <c r="N38" s="26" t="n">
        <v>511</v>
      </c>
      <c r="O38" s="26" t="n">
        <v>199</v>
      </c>
      <c r="P38" s="26" t="n">
        <v>161</v>
      </c>
    </row>
    <row r="39" ht="13" customHeight="1" s="33">
      <c r="A39" s="26" t="inlineStr">
        <is>
          <t>Tre Johnson</t>
        </is>
      </c>
      <c r="B39" s="26" t="n"/>
      <c r="C39" s="26" t="n"/>
      <c r="D39" s="26" t="n"/>
      <c r="E39" s="26" t="n">
        <v>733</v>
      </c>
      <c r="F39" s="26" t="n">
        <v>170</v>
      </c>
      <c r="G39" s="26" t="n">
        <v>122</v>
      </c>
      <c r="H39" s="26" t="n">
        <v>18</v>
      </c>
      <c r="I39" s="26" t="n">
        <v>33</v>
      </c>
      <c r="J39" s="18" t="n">
        <v>0.874</v>
      </c>
      <c r="K39" s="19" t="n">
        <v>0.419</v>
      </c>
      <c r="L39" s="26" t="n">
        <v>115</v>
      </c>
      <c r="M39" s="26" t="n">
        <v>647</v>
      </c>
      <c r="N39" s="26" t="n">
        <v>271</v>
      </c>
      <c r="O39" s="26" t="n">
        <v>87</v>
      </c>
      <c r="P39" s="26" t="n">
        <v>76</v>
      </c>
    </row>
    <row r="40" ht="13" customHeight="1" s="33">
      <c r="A40" s="26" t="inlineStr">
        <is>
          <t>Jeremiah Fears</t>
        </is>
      </c>
      <c r="B40" s="26" t="n"/>
      <c r="C40" s="26" t="n"/>
      <c r="D40" s="26" t="n"/>
      <c r="E40" s="26" t="n">
        <v>1169</v>
      </c>
      <c r="F40" s="26" t="n">
        <v>300</v>
      </c>
      <c r="G40" s="26" t="n">
        <v>279</v>
      </c>
      <c r="H40" s="26" t="n">
        <v>30</v>
      </c>
      <c r="I40" s="26" t="n">
        <v>97</v>
      </c>
      <c r="J40" s="18" t="n">
        <v>0.789</v>
      </c>
      <c r="K40" s="19" t="n">
        <v>0.434</v>
      </c>
      <c r="L40" s="26" t="n">
        <v>101</v>
      </c>
      <c r="M40" s="26" t="n">
        <v>1006</v>
      </c>
      <c r="N40" s="26" t="n">
        <v>437</v>
      </c>
      <c r="O40" s="26" t="n">
        <v>246</v>
      </c>
      <c r="P40" s="26" t="n">
        <v>194</v>
      </c>
    </row>
    <row r="41" ht="13" customHeight="1" s="33">
      <c r="A41" s="26" t="n"/>
      <c r="B41" s="26" t="n"/>
      <c r="C41" s="26" t="n"/>
      <c r="D41" s="26" t="n"/>
      <c r="E41" s="26" t="n"/>
      <c r="F41" s="26" t="n"/>
      <c r="G41" s="26" t="n"/>
      <c r="H41" s="26" t="n"/>
      <c r="I41" s="26" t="n"/>
      <c r="J41" s="18" t="n"/>
      <c r="K41" s="19" t="n"/>
      <c r="L41" s="26" t="n"/>
      <c r="M41" s="26" t="n"/>
      <c r="N41" s="26" t="n"/>
      <c r="O41" s="26" t="n"/>
      <c r="P41" s="26" t="n"/>
    </row>
    <row r="42" ht="13" customHeight="1" s="33">
      <c r="A42" s="25" t="inlineStr">
        <is>
          <t>Total</t>
        </is>
      </c>
      <c r="B42" s="25" t="n"/>
      <c r="C42" s="25" t="n"/>
      <c r="D42" s="25" t="n"/>
      <c r="E42" s="25">
        <f>SUM(E3:E25)</f>
        <v/>
      </c>
      <c r="F42" s="25">
        <f>SUM(F3:F25)</f>
        <v/>
      </c>
      <c r="G42" s="25">
        <f>SUM(G3:G25)</f>
        <v/>
      </c>
      <c r="H42" s="25">
        <f>SUM(H3:H25)</f>
        <v/>
      </c>
      <c r="I42" s="25">
        <f>SUM(I3:I25)</f>
        <v/>
      </c>
      <c r="J42" s="28">
        <f>SUM(P42/O42)</f>
        <v/>
      </c>
      <c r="K42" s="29">
        <f>SUM(N42/M42)</f>
        <v/>
      </c>
      <c r="L42" s="25">
        <f>SUM(L3:L25)</f>
        <v/>
      </c>
      <c r="M42" s="25">
        <f>SUM(M3:M25)</f>
        <v/>
      </c>
      <c r="N42" s="25">
        <f>SUM(N3:N25)</f>
        <v/>
      </c>
      <c r="O42" s="25">
        <f>SUM(O3:O25)</f>
        <v/>
      </c>
      <c r="P42" s="25">
        <f>SUM(P3:P25)</f>
        <v/>
      </c>
    </row>
    <row r="43" ht="13" customHeight="1" s="3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9" t="n"/>
      <c r="K43" s="10" t="n"/>
      <c r="L43" s="8" t="n"/>
      <c r="M43" s="8" t="n"/>
      <c r="N43" s="8" t="n"/>
      <c r="O43" s="8" t="n"/>
      <c r="P43" s="8" t="n"/>
    </row>
    <row r="44" ht="14" customHeight="1" s="33">
      <c r="A44" s="27" t="inlineStr">
        <is>
          <t>Devin Booker (G) - PHX</t>
        </is>
      </c>
      <c r="B44" s="5" t="n"/>
      <c r="C44" s="5" t="n"/>
      <c r="D44" s="5" t="n"/>
      <c r="E44" s="15" t="n">
        <v>1753</v>
      </c>
      <c r="F44" s="16" t="n">
        <v>265</v>
      </c>
      <c r="G44" s="17" t="n">
        <v>405</v>
      </c>
      <c r="H44" s="16" t="n">
        <v>19</v>
      </c>
      <c r="I44" s="17" t="n">
        <v>52</v>
      </c>
      <c r="J44" s="17" t="n">
        <v>0.869</v>
      </c>
      <c r="K44" t="n">
        <v>0.456</v>
      </c>
      <c r="L44" s="17" t="n">
        <v>127</v>
      </c>
      <c r="M44" t="n">
        <v>1261</v>
      </c>
      <c r="N44" s="17" t="n">
        <v>575</v>
      </c>
      <c r="O44" s="16" t="n">
        <v>548</v>
      </c>
      <c r="P44" s="17" t="n">
        <v>476</v>
      </c>
    </row>
    <row r="45" ht="14" customHeight="1" s="33">
      <c r="A45" s="27" t="inlineStr">
        <is>
          <t>RJ Barrett - (G/F) - TOR</t>
        </is>
      </c>
      <c r="B45" s="5" t="n"/>
      <c r="C45" s="5" t="n"/>
      <c r="D45" s="5" t="n"/>
      <c r="E45" s="15" t="n">
        <v>1267</v>
      </c>
      <c r="F45" s="16" t="n">
        <v>349</v>
      </c>
      <c r="G45" s="17" t="n">
        <v>217</v>
      </c>
      <c r="H45" s="16" t="n">
        <v>21</v>
      </c>
      <c r="I45" s="17" t="n">
        <v>51</v>
      </c>
      <c r="J45" s="17" t="n">
        <v>0.706</v>
      </c>
      <c r="K45" t="n">
        <v>0.489</v>
      </c>
      <c r="L45" s="17" t="n">
        <v>113</v>
      </c>
      <c r="M45" t="n">
        <v>948</v>
      </c>
      <c r="N45" t="n">
        <v>464</v>
      </c>
      <c r="O45" s="16" t="n">
        <v>320</v>
      </c>
      <c r="P45" s="17" t="n">
        <v>226</v>
      </c>
    </row>
    <row r="46" ht="14" customHeight="1" s="33">
      <c r="A46" s="27" t="inlineStr">
        <is>
          <t>James Harden (G) - PHI</t>
        </is>
      </c>
      <c r="B46" s="5" t="n"/>
      <c r="C46" s="5" t="n"/>
      <c r="D46" s="5" t="n"/>
      <c r="E46" s="21" t="n">
        <v>1997</v>
      </c>
      <c r="F46" s="16" t="n">
        <v>428</v>
      </c>
      <c r="G46" s="16" t="n">
        <v>656</v>
      </c>
      <c r="H46" s="16" t="n">
        <v>40</v>
      </c>
      <c r="I46" s="16" t="n">
        <v>110</v>
      </c>
      <c r="J46" s="17" t="n">
        <v>0.873</v>
      </c>
      <c r="K46" t="n">
        <v>0.429</v>
      </c>
      <c r="L46" s="16" t="n">
        <v>253</v>
      </c>
      <c r="M46" s="16" t="n">
        <v>1372</v>
      </c>
      <c r="N46" s="16" t="n">
        <v>589</v>
      </c>
      <c r="O46" s="16" t="n">
        <v>648</v>
      </c>
      <c r="P46" s="16" t="n">
        <v>566</v>
      </c>
    </row>
    <row r="47" ht="14" customHeight="1" s="33">
      <c r="A47" s="27" t="inlineStr">
        <is>
          <t>Bradley Beal (G) - PHX</t>
        </is>
      </c>
      <c r="B47" s="5" t="n"/>
      <c r="C47" s="5" t="n"/>
      <c r="D47" s="5" t="n"/>
      <c r="E47" s="23" t="n">
        <v>49</v>
      </c>
      <c r="F47" s="16" t="n">
        <v>5</v>
      </c>
      <c r="G47" s="17" t="n">
        <v>10</v>
      </c>
      <c r="H47" s="16" t="n">
        <v>0</v>
      </c>
      <c r="I47" s="17" t="n">
        <v>3</v>
      </c>
      <c r="J47" s="17" t="n">
        <v>0.75</v>
      </c>
      <c r="K47" t="n">
        <v>0.375</v>
      </c>
      <c r="L47" s="17" t="n">
        <v>7</v>
      </c>
      <c r="M47" s="17" t="n">
        <v>48</v>
      </c>
      <c r="N47" s="17" t="n">
        <v>18</v>
      </c>
      <c r="O47" s="16" t="n">
        <v>8</v>
      </c>
      <c r="P47" s="17" t="n">
        <v>6</v>
      </c>
    </row>
    <row r="48" ht="14" customHeight="1" s="33">
      <c r="A48" s="27" t="inlineStr">
        <is>
          <t>CJ McCollum (G) - NOR</t>
        </is>
      </c>
      <c r="B48" s="5" t="n"/>
      <c r="C48" s="5" t="n"/>
      <c r="D48" s="5" t="n"/>
      <c r="E48" s="21" t="n">
        <v>1539</v>
      </c>
      <c r="F48" s="16" t="n">
        <v>270</v>
      </c>
      <c r="G48" s="16" t="n">
        <v>305</v>
      </c>
      <c r="H48" s="16" t="n">
        <v>42</v>
      </c>
      <c r="I48" s="16" t="n">
        <v>70</v>
      </c>
      <c r="J48" s="17" t="n">
        <v>0.751</v>
      </c>
      <c r="K48" t="n">
        <v>0.456</v>
      </c>
      <c r="L48" s="16" t="n">
        <v>201</v>
      </c>
      <c r="M48" s="16" t="n">
        <v>1253</v>
      </c>
      <c r="N48" s="16" t="n">
        <v>571</v>
      </c>
      <c r="O48" s="16" t="n">
        <v>261</v>
      </c>
      <c r="P48" s="16" t="n">
        <v>196</v>
      </c>
    </row>
    <row r="49" ht="14" customHeight="1" s="33">
      <c r="A49" s="27" t="inlineStr">
        <is>
          <t>Joel Embiid (C) - PHI</t>
        </is>
      </c>
      <c r="B49" s="5" t="n"/>
      <c r="C49" s="5" t="n"/>
      <c r="D49" s="5" t="n"/>
      <c r="E49" s="21" t="n">
        <v>1189</v>
      </c>
      <c r="F49" s="16" t="n">
        <v>344</v>
      </c>
      <c r="G49" s="16" t="n">
        <v>188</v>
      </c>
      <c r="H49" s="16" t="n">
        <v>52</v>
      </c>
      <c r="I49" s="16" t="n">
        <v>23</v>
      </c>
      <c r="J49" s="17" t="n">
        <v>0.85</v>
      </c>
      <c r="K49" t="n">
        <v>0.485</v>
      </c>
      <c r="L49" s="16" t="n">
        <v>58</v>
      </c>
      <c r="M49" s="16" t="n">
        <v>821</v>
      </c>
      <c r="N49" s="16" t="n">
        <v>398</v>
      </c>
      <c r="O49" s="16" t="n">
        <v>394</v>
      </c>
      <c r="P49" s="16" t="n">
        <v>335</v>
      </c>
    </row>
    <row r="50" ht="14" customHeight="1" s="33">
      <c r="A50" s="27" t="inlineStr">
        <is>
          <t>Julius Randle (F/C) - MIN</t>
        </is>
      </c>
      <c r="B50" s="5" t="n"/>
      <c r="C50" s="5" t="n"/>
      <c r="D50" s="5" t="n"/>
      <c r="E50" s="15" t="n">
        <v>1859</v>
      </c>
      <c r="F50" s="16" t="n">
        <v>622</v>
      </c>
      <c r="G50" s="16" t="n">
        <v>432</v>
      </c>
      <c r="H50" s="16" t="n">
        <v>19</v>
      </c>
      <c r="I50" s="16" t="n">
        <v>92</v>
      </c>
      <c r="J50" s="17" t="n">
        <v>0.795</v>
      </c>
      <c r="K50" t="n">
        <v>0.469</v>
      </c>
      <c r="L50" s="16" t="n">
        <v>119</v>
      </c>
      <c r="M50" s="16" t="n">
        <v>1379</v>
      </c>
      <c r="N50" s="16" t="n">
        <v>647</v>
      </c>
      <c r="O50" s="16" t="n">
        <v>561</v>
      </c>
      <c r="P50" s="16" t="n">
        <v>446</v>
      </c>
    </row>
    <row r="51" ht="14" customHeight="1" s="33">
      <c r="A51" s="27" t="inlineStr">
        <is>
          <t>Andrew Wiggins (F/G) - MIA</t>
        </is>
      </c>
      <c r="B51" s="5" t="n"/>
      <c r="C51" s="5" t="n"/>
      <c r="D51" s="5" t="n"/>
      <c r="E51" s="21" t="n">
        <v>1045</v>
      </c>
      <c r="F51" s="16" t="n">
        <v>329</v>
      </c>
      <c r="G51" s="16" t="n">
        <v>182</v>
      </c>
      <c r="H51" s="16" t="n">
        <v>69</v>
      </c>
      <c r="I51" s="16" t="n">
        <v>76</v>
      </c>
      <c r="J51" s="17" t="n">
        <v>0.784</v>
      </c>
      <c r="K51" t="n">
        <v>0.475</v>
      </c>
      <c r="L51" s="16" t="n">
        <v>138</v>
      </c>
      <c r="M51" s="16" t="n">
        <v>821</v>
      </c>
      <c r="N51" s="16" t="n">
        <v>390</v>
      </c>
      <c r="O51" s="16" t="n">
        <v>162</v>
      </c>
      <c r="P51" s="16" t="n">
        <v>127</v>
      </c>
    </row>
    <row r="52" ht="14" customHeight="1" s="33">
      <c r="A52" s="27" t="inlineStr">
        <is>
          <t>Myles Turner (C) - IND</t>
        </is>
      </c>
      <c r="B52" s="5" t="n"/>
      <c r="C52" s="5" t="n"/>
      <c r="D52" s="5" t="n"/>
      <c r="E52" s="21" t="n">
        <v>846</v>
      </c>
      <c r="F52" s="16" t="n">
        <v>378</v>
      </c>
      <c r="G52" s="16" t="n">
        <v>103</v>
      </c>
      <c r="H52" s="16" t="n">
        <v>115</v>
      </c>
      <c r="I52" s="16" t="n">
        <v>50</v>
      </c>
      <c r="J52" s="16" t="n">
        <v>0.74</v>
      </c>
      <c r="K52" s="32" t="n">
        <v>0.44</v>
      </c>
      <c r="L52" s="16" t="n">
        <v>147</v>
      </c>
      <c r="M52" s="16" t="n">
        <v>646</v>
      </c>
      <c r="N52" s="16" t="n">
        <v>284</v>
      </c>
      <c r="O52" s="16" t="n">
        <v>177</v>
      </c>
      <c r="P52" s="16" t="n">
        <v>131</v>
      </c>
    </row>
    <row r="53" ht="14" customHeight="1" s="33">
      <c r="A53" s="27" t="inlineStr">
        <is>
          <t>Pascal Siakam (F) - IND</t>
        </is>
      </c>
      <c r="B53" s="5" t="n"/>
      <c r="C53" s="5" t="n"/>
      <c r="D53" s="5" t="n"/>
      <c r="E53" s="21" t="n">
        <v>1485</v>
      </c>
      <c r="F53" s="16" t="n">
        <v>411</v>
      </c>
      <c r="G53" s="16" t="n">
        <v>236</v>
      </c>
      <c r="H53" s="16" t="n">
        <v>25</v>
      </c>
      <c r="I53" s="16" t="n">
        <v>69</v>
      </c>
      <c r="J53" s="17" t="n">
        <v>0.6929999999999999</v>
      </c>
      <c r="K53" t="n">
        <v>0.484</v>
      </c>
      <c r="L53" s="16" t="n">
        <v>105</v>
      </c>
      <c r="M53" s="16" t="n">
        <v>1155</v>
      </c>
      <c r="N53" s="16" t="n">
        <v>559</v>
      </c>
      <c r="O53" s="16" t="n">
        <v>378</v>
      </c>
      <c r="P53" s="16" t="n">
        <v>262</v>
      </c>
    </row>
    <row r="54" ht="14" customHeight="1" s="33">
      <c r="A54" s="27" t="inlineStr">
        <is>
          <t>Jamal Murray (G) - DEN</t>
        </is>
      </c>
      <c r="B54" s="5" t="n"/>
      <c r="C54" s="5" t="n"/>
      <c r="D54" s="5" t="n"/>
      <c r="E54" s="23" t="n">
        <v>2047</v>
      </c>
      <c r="F54" s="16" t="n">
        <v>360</v>
      </c>
      <c r="G54" s="17" t="n">
        <v>569</v>
      </c>
      <c r="H54" s="16" t="n">
        <v>31</v>
      </c>
      <c r="I54" s="17" t="n">
        <v>71</v>
      </c>
      <c r="J54" s="17" t="n">
        <v>0.895</v>
      </c>
      <c r="K54" t="n">
        <v>0.472</v>
      </c>
      <c r="L54" s="17" t="n">
        <v>256</v>
      </c>
      <c r="M54" s="17" t="n">
        <v>1489</v>
      </c>
      <c r="N54" s="17" t="n">
        <v>703</v>
      </c>
      <c r="O54" s="16" t="n">
        <v>430</v>
      </c>
      <c r="P54" s="17" t="n">
        <v>385</v>
      </c>
    </row>
    <row r="55" ht="14" customHeight="1" s="33">
      <c r="A55" s="27" t="inlineStr">
        <is>
          <t>Donovan Mitchell (G) - CLE</t>
        </is>
      </c>
      <c r="B55" s="5" t="n"/>
      <c r="C55" s="5" t="n"/>
      <c r="D55" s="5" t="n"/>
      <c r="E55" s="21" t="n">
        <v>2420</v>
      </c>
      <c r="F55" s="16" t="n">
        <v>403</v>
      </c>
      <c r="G55" s="16" t="n">
        <v>453</v>
      </c>
      <c r="H55" s="16" t="n">
        <v>25</v>
      </c>
      <c r="I55" s="16" t="n">
        <v>125</v>
      </c>
      <c r="J55" s="17" t="n">
        <v>0.856</v>
      </c>
      <c r="K55" t="n">
        <v>0.476</v>
      </c>
      <c r="L55" s="16" t="n">
        <v>275</v>
      </c>
      <c r="M55" s="16" t="n">
        <v>1782</v>
      </c>
      <c r="N55" s="16" t="n">
        <v>849</v>
      </c>
      <c r="O55" s="16" t="n">
        <v>522</v>
      </c>
      <c r="P55" s="16" t="n">
        <v>447</v>
      </c>
    </row>
    <row r="56" ht="14" customHeight="1" s="33">
      <c r="A56" s="27" t="inlineStr">
        <is>
          <t>Mikal Bridges (F) - BKN</t>
        </is>
      </c>
      <c r="B56" s="5" t="n"/>
      <c r="C56" s="5" t="n"/>
      <c r="D56" s="5" t="n"/>
      <c r="E56" s="21" t="n">
        <v>1437</v>
      </c>
      <c r="F56" s="16" t="n">
        <v>373</v>
      </c>
      <c r="G56" s="16" t="n">
        <v>356</v>
      </c>
      <c r="H56" s="16" t="n">
        <v>68</v>
      </c>
      <c r="I56" s="16" t="n">
        <v>126</v>
      </c>
      <c r="J56" s="17" t="n">
        <v>0.846</v>
      </c>
      <c r="K56" t="n">
        <v>0.501</v>
      </c>
      <c r="L56" s="16" t="n">
        <v>179</v>
      </c>
      <c r="M56" s="16" t="n">
        <v>1151</v>
      </c>
      <c r="N56" s="16" t="n">
        <v>577</v>
      </c>
      <c r="O56" s="16" t="n">
        <v>123</v>
      </c>
      <c r="P56" s="16" t="n">
        <v>104</v>
      </c>
    </row>
    <row r="57" ht="14" customHeight="1" s="33">
      <c r="A57" s="27" t="inlineStr">
        <is>
          <t>Shai Gilgeous-Alexander (G) - OKC</t>
        </is>
      </c>
      <c r="B57" s="5" t="n"/>
      <c r="C57" s="5" t="n"/>
      <c r="D57" s="5" t="n"/>
      <c r="E57" s="21" t="n">
        <v>2531</v>
      </c>
      <c r="F57" s="16" t="n">
        <v>336</v>
      </c>
      <c r="G57" s="16" t="n">
        <v>567</v>
      </c>
      <c r="H57" s="16" t="n">
        <v>65</v>
      </c>
      <c r="I57" s="16" t="n">
        <v>114</v>
      </c>
      <c r="J57" s="16" t="n">
        <v>0.882</v>
      </c>
      <c r="K57" s="32" t="n">
        <v>0.537</v>
      </c>
      <c r="L57" s="16" t="n">
        <v>133</v>
      </c>
      <c r="M57" s="16" t="n">
        <v>1606</v>
      </c>
      <c r="N57" s="16" t="n">
        <v>863</v>
      </c>
      <c r="O57" s="16" t="n">
        <v>762</v>
      </c>
      <c r="P57" s="16" t="n">
        <v>672</v>
      </c>
    </row>
    <row r="58" ht="14" customHeight="1" s="33">
      <c r="A58" s="27" t="inlineStr">
        <is>
          <t>Trae Young (G) - ATL</t>
        </is>
      </c>
      <c r="B58" s="5" t="n"/>
      <c r="C58" s="5" t="n"/>
      <c r="D58" s="5" t="n"/>
      <c r="E58" s="21" t="n">
        <v>269</v>
      </c>
      <c r="F58" s="16" t="n">
        <v>30</v>
      </c>
      <c r="G58" s="16" t="n">
        <v>120</v>
      </c>
      <c r="H58" s="16" t="n">
        <v>2</v>
      </c>
      <c r="I58" s="16" t="n">
        <v>13</v>
      </c>
      <c r="J58" s="17" t="n">
        <v>0.825</v>
      </c>
      <c r="K58" t="n">
        <v>0.458</v>
      </c>
      <c r="L58" s="16" t="n">
        <v>27</v>
      </c>
      <c r="M58" s="16" t="n">
        <v>177</v>
      </c>
      <c r="N58" s="16" t="n">
        <v>81</v>
      </c>
      <c r="O58" s="16" t="n">
        <v>97</v>
      </c>
      <c r="P58" s="16" t="n">
        <v>80</v>
      </c>
    </row>
    <row r="59" ht="14" customHeight="1" s="33">
      <c r="A59" s="27" t="inlineStr">
        <is>
          <t>Jaren Jackson (F/C) - MEM</t>
        </is>
      </c>
      <c r="B59" s="5" t="n"/>
      <c r="C59" s="5" t="n"/>
      <c r="D59" s="5" t="n"/>
      <c r="E59" s="21" t="n">
        <v>931</v>
      </c>
      <c r="F59" s="16" t="n">
        <v>272</v>
      </c>
      <c r="G59" s="16" t="n">
        <v>94</v>
      </c>
      <c r="H59" s="16" t="n">
        <v>69</v>
      </c>
      <c r="I59" s="16" t="n">
        <v>53</v>
      </c>
      <c r="J59" s="17" t="n">
        <v>0.803</v>
      </c>
      <c r="K59" t="n">
        <v>0.476</v>
      </c>
      <c r="L59" s="16" t="n">
        <v>84</v>
      </c>
      <c r="M59" s="16" t="n">
        <v>719</v>
      </c>
      <c r="N59" s="16" t="n">
        <v>342</v>
      </c>
      <c r="O59" s="16" t="n">
        <v>203</v>
      </c>
      <c r="P59" s="16" t="n">
        <v>163</v>
      </c>
    </row>
    <row r="60" ht="14" customHeight="1" s="33">
      <c r="A60" s="27" t="inlineStr">
        <is>
          <t>Michael Porter (F) - DEN</t>
        </is>
      </c>
      <c r="B60" s="5" t="n"/>
      <c r="C60" s="5" t="n"/>
      <c r="D60" s="5" t="n"/>
      <c r="E60" s="21" t="n">
        <v>1259</v>
      </c>
      <c r="F60" s="16" t="n">
        <v>367</v>
      </c>
      <c r="G60" s="16" t="n">
        <v>158</v>
      </c>
      <c r="H60" s="16" t="n">
        <v>13</v>
      </c>
      <c r="I60" s="16" t="n">
        <v>55</v>
      </c>
      <c r="J60" s="16" t="n">
        <v>0.859</v>
      </c>
      <c r="K60" s="32" t="n">
        <v>0.463</v>
      </c>
      <c r="L60" s="16" t="n">
        <v>176</v>
      </c>
      <c r="M60" s="16" t="n">
        <v>958</v>
      </c>
      <c r="N60" s="16" t="n">
        <v>444</v>
      </c>
      <c r="O60" s="16" t="n">
        <v>227</v>
      </c>
      <c r="P60" s="16" t="n">
        <v>195</v>
      </c>
    </row>
    <row r="61" ht="14" customHeight="1" s="33">
      <c r="A61" s="27" t="inlineStr">
        <is>
          <t>Darius Garland (G) - CLE</t>
        </is>
      </c>
      <c r="B61" s="5" t="n"/>
      <c r="C61" s="5" t="n"/>
      <c r="D61" s="5" t="n"/>
      <c r="E61" s="21" t="n">
        <v>845</v>
      </c>
      <c r="F61" s="16" t="n">
        <v>107</v>
      </c>
      <c r="G61" s="16" t="n">
        <v>301</v>
      </c>
      <c r="H61" s="16" t="n">
        <v>8</v>
      </c>
      <c r="I61" s="16" t="n">
        <v>43</v>
      </c>
      <c r="J61" s="16" t="n">
        <v>0.861</v>
      </c>
      <c r="K61" s="32" t="n">
        <v>0.46</v>
      </c>
      <c r="L61" s="16" t="n">
        <v>122</v>
      </c>
      <c r="M61" s="16" t="n">
        <v>672</v>
      </c>
      <c r="N61" s="16" t="n">
        <v>309</v>
      </c>
      <c r="O61" s="16" t="n">
        <v>122</v>
      </c>
      <c r="P61" s="16" t="n">
        <v>105</v>
      </c>
    </row>
    <row r="62" ht="14" customHeight="1" s="33">
      <c r="A62" s="27" t="inlineStr">
        <is>
          <t>Tyler Herro (G) - MIA</t>
        </is>
      </c>
      <c r="B62" s="5" t="n"/>
      <c r="C62" s="5" t="n"/>
      <c r="D62" s="5" t="n"/>
      <c r="E62" s="21" t="n">
        <v>677</v>
      </c>
      <c r="F62" s="16" t="n">
        <v>158</v>
      </c>
      <c r="G62" s="16" t="n">
        <v>136</v>
      </c>
      <c r="H62" s="16" t="n">
        <v>12</v>
      </c>
      <c r="I62" s="16" t="n">
        <v>23</v>
      </c>
      <c r="J62" s="16" t="n">
        <v>0.917</v>
      </c>
      <c r="K62" s="32" t="n">
        <v>0.48</v>
      </c>
      <c r="L62" s="16" t="n">
        <v>84</v>
      </c>
      <c r="M62" s="16" t="n">
        <v>515</v>
      </c>
      <c r="N62" s="16" t="n">
        <v>247</v>
      </c>
      <c r="O62" s="16" t="n">
        <v>108</v>
      </c>
      <c r="P62" s="16" t="n">
        <v>99</v>
      </c>
    </row>
    <row r="63" ht="13" customHeight="1" s="33">
      <c r="A63" s="26" t="inlineStr">
        <is>
          <t>Lamelo Ball (G) - CHA</t>
        </is>
      </c>
      <c r="B63" s="5" t="n"/>
      <c r="C63" s="5" t="n"/>
      <c r="D63" s="5" t="n"/>
      <c r="E63" s="26" t="n">
        <v>1445</v>
      </c>
      <c r="F63" s="26" t="n">
        <v>347</v>
      </c>
      <c r="G63" s="26" t="n">
        <v>514</v>
      </c>
      <c r="H63" s="26" t="n">
        <v>18</v>
      </c>
      <c r="I63" s="26" t="n">
        <v>87</v>
      </c>
      <c r="J63" s="17" t="n">
        <v>0.899</v>
      </c>
      <c r="K63" t="n">
        <v>0.407</v>
      </c>
      <c r="L63" s="26" t="n">
        <v>272</v>
      </c>
      <c r="M63" s="26" t="n">
        <v>1244</v>
      </c>
      <c r="N63" s="26" t="n">
        <v>506</v>
      </c>
      <c r="O63" s="26" t="n">
        <v>179</v>
      </c>
      <c r="P63" s="26" t="n">
        <v>161</v>
      </c>
    </row>
    <row r="64" ht="13" customHeight="1" s="33">
      <c r="A64" s="26" t="inlineStr">
        <is>
          <t>Onyeka Okongwu (F/C) - ATL</t>
        </is>
      </c>
      <c r="B64" s="5" t="n"/>
      <c r="C64" s="5" t="n"/>
      <c r="D64" s="5" t="n"/>
      <c r="E64" s="26" t="n">
        <v>1198</v>
      </c>
      <c r="F64" s="26" t="n">
        <v>602</v>
      </c>
      <c r="G64" s="26" t="n">
        <v>245</v>
      </c>
      <c r="H64" s="26" t="n">
        <v>84</v>
      </c>
      <c r="I64" s="26" t="n">
        <v>89</v>
      </c>
      <c r="J64" s="17" t="n">
        <v>0.757</v>
      </c>
      <c r="K64" t="n">
        <v>0.486</v>
      </c>
      <c r="L64" s="26" t="n">
        <v>154</v>
      </c>
      <c r="M64" s="26" t="n">
        <v>908</v>
      </c>
      <c r="N64" s="26" t="n">
        <v>441</v>
      </c>
      <c r="O64" s="26" t="n">
        <v>214</v>
      </c>
      <c r="P64" s="26" t="n">
        <v>162</v>
      </c>
    </row>
    <row r="65" ht="13" customHeight="1" s="33">
      <c r="A65" s="26" t="inlineStr">
        <is>
          <t>Alperen Sengun (C) - HOU</t>
        </is>
      </c>
      <c r="B65" s="5" t="n"/>
      <c r="C65" s="5" t="n"/>
      <c r="D65" s="5" t="n"/>
      <c r="E65" s="26" t="n">
        <v>1588</v>
      </c>
      <c r="F65" s="26" t="n">
        <v>701</v>
      </c>
      <c r="G65" s="26" t="n">
        <v>473</v>
      </c>
      <c r="H65" s="26" t="n">
        <v>85</v>
      </c>
      <c r="I65" s="26" t="n">
        <v>96</v>
      </c>
      <c r="J65" s="17" t="n">
        <v>0.6909999999999999</v>
      </c>
      <c r="K65" t="n">
        <v>0.515</v>
      </c>
      <c r="L65" s="26" t="n">
        <v>41</v>
      </c>
      <c r="M65" s="26" t="n">
        <v>1222</v>
      </c>
      <c r="N65" s="26" t="n">
        <v>629</v>
      </c>
      <c r="O65" s="26" t="n">
        <v>418</v>
      </c>
      <c r="P65" s="26" t="n">
        <v>289</v>
      </c>
    </row>
    <row r="66" ht="13" customHeight="1" s="33">
      <c r="A66" s="26" t="inlineStr">
        <is>
          <t>Josh Giddey (G/F) - CHI</t>
        </is>
      </c>
      <c r="B66" s="5" t="n"/>
      <c r="C66" s="5" t="n"/>
      <c r="D66" s="5" t="n"/>
      <c r="E66" s="26" t="n">
        <v>919</v>
      </c>
      <c r="F66" s="26" t="n">
        <v>448</v>
      </c>
      <c r="G66" s="26" t="n">
        <v>494</v>
      </c>
      <c r="H66" s="26" t="n">
        <v>27</v>
      </c>
      <c r="I66" s="26" t="n">
        <v>55</v>
      </c>
      <c r="J66" s="16" t="n">
        <v>0.763</v>
      </c>
      <c r="K66" s="32" t="n">
        <v>0.448</v>
      </c>
      <c r="L66" s="26" t="n">
        <v>103</v>
      </c>
      <c r="M66" s="26" t="n">
        <v>717</v>
      </c>
      <c r="N66" s="26" t="n">
        <v>321</v>
      </c>
      <c r="O66" s="26" t="n">
        <v>228</v>
      </c>
      <c r="P66" s="26" t="n">
        <v>174</v>
      </c>
    </row>
    <row r="67" ht="13" customHeight="1" s="33">
      <c r="A67" s="26" t="inlineStr">
        <is>
          <t>Cade Cunningham (G/F) - DET</t>
        </is>
      </c>
      <c r="B67" s="5" t="n"/>
      <c r="C67" s="5" t="n"/>
      <c r="D67" s="5" t="n"/>
      <c r="E67" s="26" t="n">
        <v>1925</v>
      </c>
      <c r="F67" s="26" t="n">
        <v>427</v>
      </c>
      <c r="G67" s="26" t="n">
        <v>739</v>
      </c>
      <c r="H67" s="26" t="n">
        <v>62</v>
      </c>
      <c r="I67" s="26" t="n">
        <v>107</v>
      </c>
      <c r="J67" s="17" t="n">
        <v>0.823</v>
      </c>
      <c r="K67" t="n">
        <v>0.455</v>
      </c>
      <c r="L67" s="26" t="n">
        <v>166</v>
      </c>
      <c r="M67" s="26" t="n">
        <v>1483</v>
      </c>
      <c r="N67" s="26" t="n">
        <v>675</v>
      </c>
      <c r="O67" s="26" t="n">
        <v>497</v>
      </c>
      <c r="P67" s="26" t="n">
        <v>409</v>
      </c>
    </row>
    <row r="68" ht="13" customHeight="1" s="33">
      <c r="A68" s="26" t="inlineStr">
        <is>
          <t>Scottie Barnes (F) - TOR</t>
        </is>
      </c>
      <c r="B68" s="5" t="n"/>
      <c r="C68" s="5" t="n"/>
      <c r="D68" s="5" t="n"/>
      <c r="E68" s="26" t="n">
        <v>1617</v>
      </c>
      <c r="F68" s="26" t="n">
        <v>643</v>
      </c>
      <c r="G68" s="26" t="n">
        <v>534</v>
      </c>
      <c r="H68" s="26" t="n">
        <v>128</v>
      </c>
      <c r="I68" s="26" t="n">
        <v>122</v>
      </c>
      <c r="J68" s="17" t="n">
        <v>0.8120000000000001</v>
      </c>
      <c r="K68" t="n">
        <v>0.507</v>
      </c>
      <c r="L68" s="26" t="n">
        <v>76</v>
      </c>
      <c r="M68" s="26" t="n">
        <v>1239</v>
      </c>
      <c r="N68" s="26" t="n">
        <v>628</v>
      </c>
      <c r="O68" s="26" t="n">
        <v>351</v>
      </c>
      <c r="P68" s="26" t="n">
        <v>285</v>
      </c>
    </row>
    <row r="69" ht="13" customHeight="1" s="33">
      <c r="A69" s="26" t="inlineStr">
        <is>
          <t>Jabari Smith (F) - HOU</t>
        </is>
      </c>
      <c r="B69" s="5" t="n"/>
      <c r="C69" s="5" t="n"/>
      <c r="D69" s="5" t="n"/>
      <c r="E69" s="26" t="n">
        <v>1320</v>
      </c>
      <c r="F69" s="26" t="n">
        <v>580</v>
      </c>
      <c r="G69" s="26" t="n">
        <v>154</v>
      </c>
      <c r="H69" s="26" t="n">
        <v>75</v>
      </c>
      <c r="I69" s="26" t="n">
        <v>62</v>
      </c>
      <c r="J69" s="17" t="n">
        <v>0.774</v>
      </c>
      <c r="K69" t="n">
        <v>0.444</v>
      </c>
      <c r="L69" s="26" t="n">
        <v>196</v>
      </c>
      <c r="M69" s="26" t="n">
        <v>1060</v>
      </c>
      <c r="N69" s="26" t="n">
        <v>471</v>
      </c>
      <c r="O69" s="26" t="n">
        <v>235</v>
      </c>
      <c r="P69" s="26" t="n">
        <v>182</v>
      </c>
    </row>
    <row r="70" ht="13" customHeight="1" s="33">
      <c r="A70" s="26" t="inlineStr">
        <is>
          <t>Chet Holmgren (F) - OKC</t>
        </is>
      </c>
      <c r="B70" s="5" t="n"/>
      <c r="C70" s="5" t="n"/>
      <c r="D70" s="5" t="n"/>
      <c r="E70" s="26" t="n">
        <v>1405</v>
      </c>
      <c r="F70" s="26" t="n">
        <v>737</v>
      </c>
      <c r="G70" s="26" t="n">
        <v>132</v>
      </c>
      <c r="H70" s="26" t="n">
        <v>153</v>
      </c>
      <c r="I70" s="26" t="n">
        <v>59</v>
      </c>
      <c r="J70" s="16" t="n">
        <v>0.798</v>
      </c>
      <c r="K70" s="32" t="n">
        <v>0.5590000000000001</v>
      </c>
      <c r="L70" s="26" t="n">
        <v>103</v>
      </c>
      <c r="M70" s="26" t="n">
        <v>925</v>
      </c>
      <c r="N70" s="26" t="n">
        <v>517</v>
      </c>
      <c r="O70" s="26" t="n">
        <v>336</v>
      </c>
      <c r="P70" s="26" t="n">
        <v>268</v>
      </c>
    </row>
    <row r="71" ht="13" customHeight="1" s="33">
      <c r="A71" s="26" t="inlineStr">
        <is>
          <t>Shaedon Sharpe (G) - POR</t>
        </is>
      </c>
      <c r="B71" s="5" t="n"/>
      <c r="C71" s="5" t="n"/>
      <c r="D71" s="5" t="n"/>
      <c r="E71" s="26" t="n">
        <v>1078</v>
      </c>
      <c r="F71" s="26" t="n">
        <v>225</v>
      </c>
      <c r="G71" s="26" t="n">
        <v>135</v>
      </c>
      <c r="H71" s="26" t="n">
        <v>8</v>
      </c>
      <c r="I71" s="26" t="n">
        <v>72</v>
      </c>
      <c r="J71" s="17" t="n">
        <v>0.78</v>
      </c>
      <c r="K71" t="n">
        <v>0.45</v>
      </c>
      <c r="L71" s="26" t="n">
        <v>106</v>
      </c>
      <c r="M71" s="26" t="n">
        <v>902</v>
      </c>
      <c r="N71" s="26" t="n">
        <v>406</v>
      </c>
      <c r="O71" s="26" t="n">
        <v>205</v>
      </c>
      <c r="P71" s="26" t="n">
        <v>160</v>
      </c>
    </row>
    <row r="72" ht="13" customHeight="1" s="33">
      <c r="A72" s="26" t="inlineStr">
        <is>
          <t>Brandon Miller (F) - CHA</t>
        </is>
      </c>
      <c r="B72" s="5" t="n"/>
      <c r="C72" s="5" t="n"/>
      <c r="D72" s="5" t="n"/>
      <c r="E72" s="26" t="n">
        <v>1311</v>
      </c>
      <c r="F72" s="26" t="n">
        <v>319</v>
      </c>
      <c r="G72" s="26" t="n">
        <v>217</v>
      </c>
      <c r="H72" s="26" t="n">
        <v>44</v>
      </c>
      <c r="I72" s="26" t="n">
        <v>66</v>
      </c>
      <c r="J72" s="17" t="n">
        <v>0.892</v>
      </c>
      <c r="K72" t="n">
        <v>0.435</v>
      </c>
      <c r="L72" s="26" t="n">
        <v>204</v>
      </c>
      <c r="M72" s="26" t="n">
        <v>1044</v>
      </c>
      <c r="N72" s="26" t="n">
        <v>454</v>
      </c>
      <c r="O72" s="26" t="n">
        <v>223</v>
      </c>
      <c r="P72" s="26" t="n">
        <v>199</v>
      </c>
    </row>
    <row r="73" ht="13" customHeight="1" s="33">
      <c r="A73" s="26" t="inlineStr">
        <is>
          <t>Stephon Castle</t>
        </is>
      </c>
      <c r="B73" s="5" t="n"/>
      <c r="C73" s="5" t="n"/>
      <c r="D73" s="5" t="n"/>
      <c r="E73" s="26" t="n">
        <v>1551</v>
      </c>
      <c r="F73" s="26" t="n">
        <v>478</v>
      </c>
      <c r="G73" s="26" t="n">
        <v>643</v>
      </c>
      <c r="H73" s="26" t="n">
        <v>27</v>
      </c>
      <c r="I73" s="26" t="n">
        <v>99</v>
      </c>
      <c r="J73" s="17" t="n">
        <v>0.756</v>
      </c>
      <c r="K73" t="n">
        <v>0.468</v>
      </c>
      <c r="L73" s="26" t="n">
        <v>116</v>
      </c>
      <c r="M73" s="26" t="n">
        <v>1113</v>
      </c>
      <c r="N73" s="26" t="n">
        <v>521</v>
      </c>
      <c r="O73" s="26" t="n">
        <v>520</v>
      </c>
      <c r="P73" s="26" t="n">
        <v>393</v>
      </c>
    </row>
    <row r="74" ht="13" customHeight="1" s="33">
      <c r="A74" s="26" t="inlineStr">
        <is>
          <t>Donovan Clingan</t>
        </is>
      </c>
      <c r="B74" s="5" t="n"/>
      <c r="C74" s="5" t="n"/>
      <c r="D74" s="5" t="n"/>
      <c r="E74" s="26" t="n">
        <v>969</v>
      </c>
      <c r="F74" s="26" t="n">
        <v>931</v>
      </c>
      <c r="G74" s="26" t="n">
        <v>173</v>
      </c>
      <c r="H74" s="26" t="n">
        <v>133</v>
      </c>
      <c r="I74" s="26" t="n">
        <v>45</v>
      </c>
      <c r="J74" s="17" t="n">
        <v>0.676</v>
      </c>
      <c r="K74" t="n">
        <v>0.507</v>
      </c>
      <c r="L74" s="26" t="n">
        <v>89</v>
      </c>
      <c r="M74" s="26" t="n">
        <v>730</v>
      </c>
      <c r="N74" s="26" t="n">
        <v>370</v>
      </c>
      <c r="O74" s="26" t="n">
        <v>207</v>
      </c>
      <c r="P74" s="26" t="n">
        <v>140</v>
      </c>
    </row>
    <row r="75" ht="13" customHeight="1" s="33">
      <c r="A75" s="26" t="inlineStr">
        <is>
          <t>Dereck Lively</t>
        </is>
      </c>
      <c r="B75" s="5" t="n"/>
      <c r="C75" s="5" t="n"/>
      <c r="D75" s="5" t="n"/>
      <c r="E75" s="26" t="n">
        <v>30</v>
      </c>
      <c r="F75" s="26" t="n">
        <v>37</v>
      </c>
      <c r="G75" s="26" t="n">
        <v>13</v>
      </c>
      <c r="H75" s="26" t="n">
        <v>11</v>
      </c>
      <c r="I75" s="26" t="n">
        <v>4</v>
      </c>
      <c r="J75" s="17" t="n">
        <v>0.8</v>
      </c>
      <c r="K75" t="n">
        <v>0.611</v>
      </c>
      <c r="L75" s="26" t="n">
        <v>0</v>
      </c>
      <c r="M75" s="26" t="n">
        <v>18</v>
      </c>
      <c r="N75" s="26" t="n">
        <v>11</v>
      </c>
      <c r="O75" s="26" t="n">
        <v>10</v>
      </c>
      <c r="P75" s="26" t="n">
        <v>8</v>
      </c>
    </row>
    <row r="76" ht="13" customHeight="1" s="33">
      <c r="A76" s="26" t="inlineStr">
        <is>
          <t>Jalen Johnson</t>
        </is>
      </c>
      <c r="B76" s="5" t="n"/>
      <c r="C76" s="5" t="n"/>
      <c r="D76" s="5" t="n"/>
      <c r="E76" s="26" t="n">
        <v>1738</v>
      </c>
      <c r="F76" s="26" t="n">
        <v>786</v>
      </c>
      <c r="G76" s="26" t="n">
        <v>597</v>
      </c>
      <c r="H76" s="26" t="n">
        <v>33</v>
      </c>
      <c r="I76" s="26" t="n">
        <v>94</v>
      </c>
      <c r="J76" s="17" t="n">
        <v>0.795</v>
      </c>
      <c r="K76" t="n">
        <v>0.485</v>
      </c>
      <c r="L76" s="26" t="n">
        <v>129</v>
      </c>
      <c r="M76" s="26" t="n">
        <v>1320</v>
      </c>
      <c r="N76" s="26" t="n">
        <v>640</v>
      </c>
      <c r="O76" s="26" t="n">
        <v>414</v>
      </c>
      <c r="P76" s="26" t="n">
        <v>329</v>
      </c>
    </row>
    <row r="77" ht="13" customHeight="1" s="33">
      <c r="A77" s="26" t="inlineStr">
        <is>
          <t>Alex Sarr</t>
        </is>
      </c>
      <c r="B77" s="5" t="n"/>
      <c r="C77" s="5" t="n"/>
      <c r="D77" s="5" t="n"/>
      <c r="E77" s="26" t="n">
        <v>783</v>
      </c>
      <c r="F77" s="26" t="n">
        <v>355</v>
      </c>
      <c r="G77" s="26" t="n">
        <v>130</v>
      </c>
      <c r="H77" s="26" t="n">
        <v>95</v>
      </c>
      <c r="I77" s="26" t="n">
        <v>39</v>
      </c>
      <c r="J77" s="17" t="n">
        <v>0.6919999999999999</v>
      </c>
      <c r="K77" t="n">
        <v>0.482</v>
      </c>
      <c r="L77" s="26" t="n">
        <v>50</v>
      </c>
      <c r="M77" s="26" t="n">
        <v>656</v>
      </c>
      <c r="N77" s="26" t="n">
        <v>316</v>
      </c>
      <c r="O77" s="26" t="n">
        <v>146</v>
      </c>
      <c r="P77" s="26" t="n">
        <v>101</v>
      </c>
    </row>
    <row r="78" ht="13" customHeight="1" s="33">
      <c r="A78" s="26" t="inlineStr">
        <is>
          <t>Dyson Daniels</t>
        </is>
      </c>
      <c r="B78" s="5" t="n"/>
      <c r="C78" s="5" t="n"/>
      <c r="D78" s="5" t="n"/>
      <c r="E78" s="26" t="n">
        <v>945</v>
      </c>
      <c r="F78" s="26" t="n">
        <v>557</v>
      </c>
      <c r="G78" s="26" t="n">
        <v>479</v>
      </c>
      <c r="H78" s="26" t="n">
        <v>33</v>
      </c>
      <c r="I78" s="26" t="n">
        <v>160</v>
      </c>
      <c r="J78" s="17" t="n">
        <v>0.617</v>
      </c>
      <c r="K78" t="n">
        <v>0.513</v>
      </c>
      <c r="L78" s="26" t="n">
        <v>26</v>
      </c>
      <c r="M78" s="26" t="n">
        <v>818</v>
      </c>
      <c r="N78" s="26" t="n">
        <v>420</v>
      </c>
      <c r="O78" s="26" t="n">
        <v>128</v>
      </c>
      <c r="P78" s="26" t="n">
        <v>79</v>
      </c>
    </row>
    <row r="79" ht="13" customHeight="1" s="33">
      <c r="A79" s="26" t="inlineStr">
        <is>
          <t>Dylan Harper</t>
        </is>
      </c>
      <c r="B79" s="5" t="n"/>
      <c r="C79" s="5" t="n"/>
      <c r="D79" s="5" t="n"/>
      <c r="E79" s="26" t="n">
        <v>1138</v>
      </c>
      <c r="F79" s="26" t="n">
        <v>362</v>
      </c>
      <c r="G79" s="26" t="n">
        <v>328</v>
      </c>
      <c r="H79" s="26" t="n">
        <v>29</v>
      </c>
      <c r="I79" s="26" t="n">
        <v>76</v>
      </c>
      <c r="J79" s="17" t="n">
        <v>0.784</v>
      </c>
      <c r="K79" t="n">
        <v>0.507</v>
      </c>
      <c r="L79" s="26" t="n">
        <v>84</v>
      </c>
      <c r="M79" s="26" t="n">
        <v>889</v>
      </c>
      <c r="N79" s="26" t="n">
        <v>451</v>
      </c>
      <c r="O79" s="26" t="n">
        <v>194</v>
      </c>
      <c r="P79" s="26" t="n">
        <v>152</v>
      </c>
    </row>
    <row r="80" ht="13" customHeight="1" s="33">
      <c r="A80" s="26" t="inlineStr">
        <is>
          <t>Ace Bailey</t>
        </is>
      </c>
      <c r="B80" s="5" t="n"/>
      <c r="C80" s="5" t="n"/>
      <c r="D80" s="5" t="n"/>
      <c r="E80" s="26" t="n">
        <v>993</v>
      </c>
      <c r="F80" s="26" t="n">
        <v>302</v>
      </c>
      <c r="G80" s="26" t="n">
        <v>131</v>
      </c>
      <c r="H80" s="26" t="n">
        <v>49</v>
      </c>
      <c r="I80" s="26" t="n">
        <v>60</v>
      </c>
      <c r="J80" s="17" t="n">
        <v>0.75</v>
      </c>
      <c r="K80" t="n">
        <v>0.443</v>
      </c>
      <c r="L80" s="26" t="n">
        <v>137</v>
      </c>
      <c r="M80" s="26" t="n">
        <v>892</v>
      </c>
      <c r="N80" s="26" t="n">
        <v>395</v>
      </c>
      <c r="O80" s="26" t="n">
        <v>88</v>
      </c>
      <c r="P80" s="26" t="n">
        <v>66</v>
      </c>
    </row>
    <row r="81" ht="13" customHeight="1" s="33">
      <c r="A81" s="26" t="inlineStr">
        <is>
          <t>Kon Knueppel</t>
        </is>
      </c>
      <c r="B81" s="5" t="n"/>
      <c r="C81" s="5" t="n"/>
      <c r="D81" s="5" t="n"/>
      <c r="E81" s="26" t="n">
        <v>1498</v>
      </c>
      <c r="F81" s="26" t="n">
        <v>432</v>
      </c>
      <c r="G81" s="26" t="n">
        <v>274</v>
      </c>
      <c r="H81" s="26" t="n">
        <v>19</v>
      </c>
      <c r="I81" s="26" t="n">
        <v>57</v>
      </c>
      <c r="J81" s="17" t="n">
        <v>0.863</v>
      </c>
      <c r="K81" t="n">
        <v>0.475</v>
      </c>
      <c r="L81" s="26" t="n">
        <v>273</v>
      </c>
      <c r="M81" s="26" t="n">
        <v>1084</v>
      </c>
      <c r="N81" s="26" t="n">
        <v>515</v>
      </c>
      <c r="O81" s="26" t="n">
        <v>226</v>
      </c>
      <c r="P81" s="26" t="n">
        <v>195</v>
      </c>
    </row>
    <row r="82" ht="13" customHeight="1" s="33">
      <c r="A82" s="26" t="n"/>
      <c r="B82" s="5" t="n"/>
      <c r="C82" s="5" t="n"/>
      <c r="D82" s="5" t="n"/>
      <c r="E82" s="26" t="n"/>
      <c r="F82" s="26" t="n"/>
      <c r="G82" s="26" t="n"/>
      <c r="H82" s="26" t="n"/>
      <c r="I82" s="26" t="n"/>
      <c r="J82" s="17" t="n"/>
      <c r="L82" s="26" t="n"/>
      <c r="M82" s="26" t="n"/>
      <c r="N82" s="26" t="n"/>
      <c r="O82" s="26" t="n"/>
      <c r="P82" s="26" t="n"/>
    </row>
    <row r="83" ht="13" customHeight="1" s="33">
      <c r="A83" s="5" t="inlineStr">
        <is>
          <t>Total</t>
        </is>
      </c>
      <c r="B83" s="5" t="n"/>
      <c r="C83" s="5" t="n"/>
      <c r="D83" s="5" t="n"/>
      <c r="E83" s="5">
        <f>SUM(E44:E68)</f>
        <v/>
      </c>
      <c r="F83" s="5">
        <f>SUM(F44:F68)</f>
        <v/>
      </c>
      <c r="G83" s="5">
        <f>SUM(G44:G68)</f>
        <v/>
      </c>
      <c r="H83" s="5">
        <f>SUM(H44:H68)</f>
        <v/>
      </c>
      <c r="I83" s="5">
        <f>SUM(I44:I68)</f>
        <v/>
      </c>
      <c r="J83" s="30">
        <f>SUM(P83/O83)</f>
        <v/>
      </c>
      <c r="K83" s="31">
        <f>SUM(N83/M83)</f>
        <v/>
      </c>
      <c r="L83" s="5">
        <f>SUM(L44:L68)</f>
        <v/>
      </c>
      <c r="M83" s="5">
        <f>SUM(M44:M68)</f>
        <v/>
      </c>
      <c r="N83" s="5">
        <f>SUM(N44:N68)</f>
        <v/>
      </c>
      <c r="O83" s="5">
        <f>SUM(O44:O68)</f>
        <v/>
      </c>
      <c r="P83" s="5">
        <f>SUM(P44:P68)</f>
        <v/>
      </c>
    </row>
    <row r="84" ht="13" customHeight="1" s="33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9" t="n"/>
      <c r="K84" s="10" t="n"/>
      <c r="L84" s="8" t="n"/>
      <c r="M84" s="8" t="n"/>
      <c r="N84" s="8" t="n"/>
      <c r="O84" s="8" t="n"/>
      <c r="P84" s="8" t="n"/>
    </row>
    <row r="85" ht="13" customHeight="1" s="33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7" t="n"/>
      <c r="K85" s="6" t="n"/>
      <c r="L85" s="5" t="n"/>
      <c r="M85" s="5" t="n"/>
      <c r="N85" s="5" t="n"/>
      <c r="O85" s="5" t="n"/>
      <c r="P85" s="5" t="n"/>
    </row>
    <row r="86" ht="13" customHeight="1" s="33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7" t="n"/>
      <c r="K86" s="6" t="n"/>
      <c r="L86" s="5" t="n"/>
      <c r="M86" s="5" t="n"/>
      <c r="N86" s="5" t="n"/>
      <c r="O86" s="5" t="n"/>
      <c r="P86" s="5" t="n"/>
    </row>
    <row r="87" ht="13" customHeight="1" s="33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7" t="n"/>
      <c r="K87" s="6" t="n"/>
      <c r="L87" s="5" t="n"/>
      <c r="M87" s="5" t="n"/>
      <c r="N87" s="5" t="n"/>
      <c r="O87" s="5" t="n"/>
      <c r="P87" s="5" t="n"/>
    </row>
    <row r="88" ht="13" customHeight="1" s="33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7" t="n"/>
      <c r="K88" s="6" t="n"/>
      <c r="L88" s="5" t="n"/>
      <c r="M88" s="5" t="n"/>
      <c r="N88" s="5" t="n"/>
      <c r="O88" s="5" t="n"/>
      <c r="P88" s="5" t="n"/>
    </row>
    <row r="89" ht="13" customHeight="1" s="33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7" t="n"/>
      <c r="K89" s="6" t="n"/>
      <c r="L89" s="5" t="n"/>
      <c r="M89" s="5" t="n"/>
      <c r="N89" s="5" t="n"/>
      <c r="O89" s="5" t="n"/>
      <c r="P89" s="5" t="n"/>
    </row>
    <row r="90" ht="13" customHeight="1" s="33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7" t="n"/>
      <c r="K90" s="6" t="n"/>
      <c r="L90" s="5" t="n"/>
      <c r="M90" s="5" t="n"/>
      <c r="N90" s="5" t="n"/>
      <c r="O90" s="5" t="n"/>
      <c r="P90" s="5" t="n"/>
    </row>
    <row r="91" ht="13" customHeight="1" s="33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7" t="n"/>
      <c r="K91" s="6" t="n"/>
      <c r="L91" s="5" t="n"/>
      <c r="M91" s="5" t="n"/>
      <c r="N91" s="5" t="n"/>
      <c r="O91" s="5" t="n"/>
      <c r="P91" s="5" t="n"/>
    </row>
    <row r="92" ht="13" customHeight="1" s="33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7" t="n"/>
      <c r="K92" s="6" t="n"/>
      <c r="L92" s="5" t="n"/>
      <c r="M92" s="5" t="n"/>
      <c r="N92" s="5" t="n"/>
      <c r="O92" s="5" t="n"/>
      <c r="P92" s="5" t="n"/>
    </row>
    <row r="93" ht="13" customHeight="1" s="3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7" t="n"/>
      <c r="K93" s="6" t="n"/>
      <c r="L93" s="5" t="n"/>
      <c r="M93" s="5" t="n"/>
      <c r="N93" s="5" t="n"/>
      <c r="O93" s="5" t="n"/>
      <c r="P93" s="5" t="n"/>
    </row>
    <row r="94" ht="13" customHeight="1" s="33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7" t="n"/>
      <c r="K94" s="6" t="n"/>
      <c r="L94" s="5" t="n"/>
      <c r="M94" s="5" t="n"/>
      <c r="N94" s="5" t="n"/>
      <c r="O94" s="5" t="n"/>
      <c r="P94" s="5" t="n"/>
    </row>
    <row r="95" ht="13" customHeight="1" s="33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7" t="n"/>
      <c r="K95" s="6" t="n"/>
      <c r="L95" s="5" t="n"/>
      <c r="M95" s="5" t="n"/>
      <c r="N95" s="5" t="n"/>
      <c r="O95" s="5" t="n"/>
      <c r="P95" s="5" t="n"/>
    </row>
    <row r="96" ht="13" customHeight="1" s="33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7" t="n"/>
      <c r="K96" s="6" t="n"/>
      <c r="L96" s="5" t="n"/>
      <c r="M96" s="5" t="n"/>
      <c r="N96" s="5" t="n"/>
      <c r="O96" s="5" t="n"/>
      <c r="P96" s="5" t="n"/>
    </row>
    <row r="97" ht="13" customHeight="1" s="33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7" t="n"/>
      <c r="K97" s="6" t="n"/>
      <c r="L97" s="5" t="n"/>
      <c r="M97" s="5" t="n"/>
      <c r="N97" s="5" t="n"/>
      <c r="O97" s="5" t="n"/>
      <c r="P97" s="5" t="n"/>
    </row>
    <row r="98" ht="13" customHeight="1" s="33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7" t="n"/>
      <c r="K98" s="6" t="n"/>
      <c r="L98" s="5" t="n"/>
      <c r="M98" s="5" t="n"/>
      <c r="N98" s="5" t="n"/>
      <c r="O98" s="5" t="n"/>
      <c r="P98" s="5" t="n"/>
    </row>
    <row r="99" ht="13" customHeight="1" s="33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7" t="n"/>
      <c r="K99" s="6" t="n"/>
      <c r="L99" s="5" t="n"/>
      <c r="M99" s="5" t="n"/>
      <c r="N99" s="5" t="n"/>
      <c r="O99" s="5" t="n"/>
      <c r="P99" s="5" t="n"/>
    </row>
    <row r="100" ht="13" customHeight="1" s="33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7" t="n"/>
      <c r="K100" s="6" t="n"/>
      <c r="L100" s="5" t="n"/>
      <c r="M100" s="5" t="n"/>
      <c r="N100" s="5" t="n"/>
      <c r="O100" s="5" t="n"/>
      <c r="P100" s="5" t="n"/>
    </row>
    <row r="101" ht="13" customHeight="1" s="33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7" t="n"/>
      <c r="K101" s="6" t="n"/>
      <c r="L101" s="5" t="n"/>
      <c r="M101" s="5" t="n"/>
      <c r="N101" s="5" t="n"/>
      <c r="O101" s="5" t="n"/>
      <c r="P101" s="5" t="n"/>
    </row>
    <row r="102" ht="13" customHeight="1" s="33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7" t="n"/>
      <c r="K102" s="6" t="n"/>
      <c r="L102" s="5" t="n"/>
      <c r="M102" s="5" t="n"/>
      <c r="N102" s="5" t="n"/>
      <c r="O102" s="5" t="n"/>
      <c r="P102" s="5" t="n"/>
    </row>
    <row r="103" ht="13" customHeight="1" s="3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7" t="n"/>
      <c r="K103" s="6" t="n"/>
      <c r="L103" s="5" t="n"/>
      <c r="M103" s="5" t="n"/>
      <c r="N103" s="5" t="n"/>
      <c r="O103" s="5" t="n"/>
      <c r="P103" s="5" t="n"/>
    </row>
    <row r="104" ht="13" customHeight="1" s="33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7" t="n"/>
      <c r="K104" s="6" t="n"/>
      <c r="L104" s="5" t="n"/>
      <c r="M104" s="5" t="n"/>
      <c r="N104" s="5" t="n"/>
      <c r="O104" s="5" t="n"/>
      <c r="P104" s="5" t="n"/>
    </row>
    <row r="105" ht="13" customHeight="1" s="33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7" t="n"/>
      <c r="K105" s="6" t="n"/>
      <c r="L105" s="5" t="n"/>
      <c r="M105" s="5" t="n"/>
      <c r="N105" s="5" t="n"/>
      <c r="O105" s="5" t="n"/>
      <c r="P105" s="5" t="n"/>
    </row>
    <row r="106" ht="13" customHeight="1" s="33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7" t="n"/>
      <c r="K106" s="6" t="n"/>
      <c r="L106" s="5" t="n"/>
      <c r="M106" s="5" t="n"/>
      <c r="N106" s="5" t="n"/>
      <c r="O106" s="5" t="n"/>
      <c r="P106" s="5" t="n"/>
    </row>
    <row r="107" ht="13" customHeight="1" s="33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7" t="n"/>
      <c r="K107" s="6" t="n"/>
      <c r="L107" s="5" t="n"/>
      <c r="M107" s="5" t="n"/>
      <c r="N107" s="5" t="n"/>
      <c r="O107" s="5" t="n"/>
      <c r="P107" s="5" t="n"/>
    </row>
    <row r="108" ht="13" customHeight="1" s="33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7" t="n"/>
      <c r="K108" s="6" t="n"/>
      <c r="L108" s="5" t="n"/>
      <c r="M108" s="5" t="n"/>
      <c r="N108" s="5" t="n"/>
      <c r="O108" s="5" t="n"/>
      <c r="P108" s="5" t="n"/>
    </row>
    <row r="109" ht="13" customHeight="1" s="33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7" t="n"/>
      <c r="K109" s="6" t="n"/>
      <c r="L109" s="5" t="n"/>
      <c r="M109" s="5" t="n"/>
      <c r="N109" s="5" t="n"/>
      <c r="O109" s="5" t="n"/>
      <c r="P10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2026-07-08T05:25:19Z</dcterms:created>
  <dcterms:modified xmlns:dcterms="http://purl.org/dc/terms/" xmlns:xsi="http://www.w3.org/2001/XMLSchema-instance" xsi:type="dcterms:W3CDTF">2026-07-08T05:25:19Z</dcterms:modified>
  <cp:lastModifiedBy>Microsoft Office User</cp:lastModifiedBy>
</cp:coreProperties>
</file>